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di.abdalla\Desktop\"/>
    </mc:Choice>
  </mc:AlternateContent>
  <bookViews>
    <workbookView xWindow="0" yWindow="0" windowWidth="24000" windowHeight="9135"/>
  </bookViews>
  <sheets>
    <sheet name="CAPACITACAO" sheetId="1" r:id="rId1"/>
  </sheets>
  <externalReferences>
    <externalReference r:id="rId2"/>
  </externalReferences>
  <definedNames>
    <definedName name="_xlnm.Print_Area" localSheetId="0">'[1]TREINAMENTOS MINISTRADOS'!$B$7:$M$18</definedName>
  </definedNames>
  <calcPr calcId="152511"/>
</workbook>
</file>

<file path=xl/calcChain.xml><?xml version="1.0" encoding="utf-8"?>
<calcChain xmlns="http://schemas.openxmlformats.org/spreadsheetml/2006/main">
  <c r="F81" i="1" l="1"/>
</calcChain>
</file>

<file path=xl/sharedStrings.xml><?xml version="1.0" encoding="utf-8"?>
<sst xmlns="http://schemas.openxmlformats.org/spreadsheetml/2006/main" count="328" uniqueCount="106">
  <si>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</si>
  <si>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</si>
  <si>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</si>
  <si>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</si>
  <si>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</si>
  <si>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</si>
  <si>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</si>
  <si>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</si>
  <si>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</si>
  <si>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</si>
  <si>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</si>
  <si>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</si>
  <si>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</si>
  <si>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</si>
  <si>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</si>
  <si>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Biblioteca/Unidade: FM_______________________</t>
  </si>
  <si>
    <t>Visita Orientada</t>
  </si>
  <si>
    <t>Profª Valeria Aoki</t>
  </si>
  <si>
    <t>manhã</t>
  </si>
  <si>
    <t>Erinalva</t>
  </si>
  <si>
    <t>Treinamento</t>
  </si>
  <si>
    <t>OPI, PubMed, Scopus, Web of Science, EndNote, ResearcherID, ORCIS</t>
  </si>
  <si>
    <t>tarde</t>
  </si>
  <si>
    <t>Valéria</t>
  </si>
  <si>
    <t>Visita à Biblioteca - Professora Luciana Haddad</t>
  </si>
  <si>
    <t>Departamento de Gastroenterologia</t>
  </si>
  <si>
    <t xml:space="preserve">Portal teses USP, BDTD, Fator de Impacto: JCR, SJR Scimago, Capes. 
Scopus e Web of Science (bibliometria, Indice H, métrica)
</t>
  </si>
  <si>
    <t>Visita à Biblioteca - Professor Chao</t>
  </si>
  <si>
    <t>Aulas a convite da Unidade</t>
  </si>
  <si>
    <t>MFT1010</t>
  </si>
  <si>
    <t>Bases de Dados, EndNote, Mendeley</t>
  </si>
  <si>
    <t>Valéria/Eidi</t>
  </si>
  <si>
    <t xml:space="preserve">MFT 0711 </t>
  </si>
  <si>
    <t>Site da Biblioteca, DEDALUS, Busca Integrada, Bases de Dados</t>
  </si>
  <si>
    <t>MFT 0712</t>
  </si>
  <si>
    <t>Visita à Biblioteca - Profa. Talita Naiara Rossi da Silva</t>
  </si>
  <si>
    <t xml:space="preserve">MSP1010 </t>
  </si>
  <si>
    <t xml:space="preserve">Site da Biblioteca, DEDALUS, Busca Integrada, Livros eletrônicos </t>
  </si>
  <si>
    <t>Visita à Biblioteca</t>
  </si>
  <si>
    <t>Instituto de Medicina Tropical</t>
  </si>
  <si>
    <t>Tarde</t>
  </si>
  <si>
    <t>Curso de Especialização em Neurociências</t>
  </si>
  <si>
    <t>Site da Biblioteca, DEDALUS, Busca Integrada, OPI, PUBMED...</t>
  </si>
  <si>
    <t>Julio Cezar Morelli</t>
  </si>
  <si>
    <t>Science Direct, Scopus, Mendeley</t>
  </si>
  <si>
    <t>Embase, Reaxys</t>
  </si>
  <si>
    <t>EndNote Web</t>
  </si>
  <si>
    <t>Gerenciadores de Referências</t>
  </si>
  <si>
    <t>Erinalva/Isabel</t>
  </si>
  <si>
    <t>Base de Dados</t>
  </si>
  <si>
    <t>InCites</t>
  </si>
  <si>
    <t>MOF 5768 Fundamentos da pesquisa clínica </t>
  </si>
  <si>
    <t>Revisão sistemática da literatura e de indexadores</t>
  </si>
  <si>
    <t>PUBMED, DECS, Mendeley</t>
  </si>
  <si>
    <t>manha</t>
  </si>
  <si>
    <t>Revisão sistemática da literatura e de indexadores - EndNote</t>
  </si>
  <si>
    <t>Scival</t>
  </si>
  <si>
    <t>Faculdade Mogi das Cruzes</t>
  </si>
  <si>
    <t>Winter Schools</t>
  </si>
  <si>
    <t>Médicos</t>
  </si>
  <si>
    <t>End Note</t>
  </si>
  <si>
    <t>UNISA</t>
  </si>
  <si>
    <t>Residentes TO</t>
  </si>
  <si>
    <t>Revisão de estratégia de busca</t>
  </si>
  <si>
    <t>HU Reunião Clínica Divisão de Clínica Pediátrica</t>
  </si>
  <si>
    <t xml:space="preserve"> Gravação Disciplina (PG) Escrita científica (Ester Sabino)</t>
  </si>
  <si>
    <t>Graduação Prof. Responsável: Renério Fráguas</t>
  </si>
  <si>
    <t>Abordagem prática à Escrita Científica</t>
  </si>
  <si>
    <t>Webinar New England Journal of Medicine</t>
  </si>
  <si>
    <t>noite</t>
  </si>
  <si>
    <t xml:space="preserve">Vitor </t>
  </si>
  <si>
    <t>Oficina Bases de Dados</t>
  </si>
  <si>
    <t>Treinamento aluna iniciação científica</t>
  </si>
  <si>
    <t>Visita orientada</t>
  </si>
  <si>
    <t>EEP</t>
  </si>
  <si>
    <t>Alunos de ensino médio</t>
  </si>
  <si>
    <t>Manhã</t>
  </si>
  <si>
    <t>Marinalva</t>
  </si>
  <si>
    <t>Visitante externo</t>
  </si>
  <si>
    <t>Noite</t>
  </si>
  <si>
    <t>Alunos EEP</t>
  </si>
  <si>
    <t>Curso da 3 idade</t>
  </si>
  <si>
    <t>Isabel/Marinalva</t>
  </si>
  <si>
    <t>Aula-Metodologia de Pesquisa Virtual</t>
  </si>
  <si>
    <t>Alunos de residência</t>
  </si>
  <si>
    <t>Erinalva / Isabel</t>
  </si>
  <si>
    <t>Disciplina na Unidade</t>
  </si>
  <si>
    <t>MIP5722</t>
  </si>
  <si>
    <t>Pesquisa Bibliográfica</t>
  </si>
  <si>
    <t>MIP5723</t>
  </si>
  <si>
    <t>MIP5724</t>
  </si>
  <si>
    <t>MIP5725</t>
  </si>
  <si>
    <t>MIP5726</t>
  </si>
  <si>
    <t>MIP5727</t>
  </si>
  <si>
    <t>MIP5728</t>
  </si>
  <si>
    <t>MIP5729</t>
  </si>
  <si>
    <t>Ana Moura Reis (Prefeitura de São paulo)</t>
  </si>
  <si>
    <t>MIP5730</t>
  </si>
  <si>
    <t>Tirando dúvidas</t>
  </si>
  <si>
    <t>MIP5731</t>
  </si>
  <si>
    <t>MIP5732</t>
  </si>
  <si>
    <t>Pesquisa Bibliográfica (Dúvidas)</t>
  </si>
  <si>
    <t>Treinamento Base de Dados - FI</t>
  </si>
  <si>
    <t>Pesquisa Bibliográfica (Revisão)</t>
  </si>
  <si>
    <t>Treinamento Embase e PubMed</t>
  </si>
  <si>
    <t>Treinamento Bases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</si>
</sst>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:ss;@"/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rgb="FF3C4043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21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49" fontId="5" fillId="0" borderId="3" xfId="0" applyNumberFormat="1" applyFont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left" vertical="center" wrapText="1"/>
      <protection locked="0"/>
    </xf>
    <xf numFmtId="165" fontId="5" fillId="0" borderId="1" xfId="0" applyNumberFormat="1" applyFont="1" applyBorder="1" applyAlignment="1" applyProtection="1">
      <alignment horizontal="center" vertical="center" wrapText="1"/>
      <protection locked="0"/>
    </xf>
    <xf numFmtId="1" fontId="5" fillId="0" borderId="1" xfId="0" applyNumberFormat="1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5" fillId="0" borderId="3" xfId="0" applyNumberFormat="1" applyFont="1" applyBorder="1" applyAlignment="1" applyProtection="1">
      <alignment horizontal="center" vertical="center" wrapText="1"/>
    </xf>
    <xf numFmtId="164" fontId="5" fillId="0" borderId="1" xfId="0" applyNumberFormat="1" applyFont="1" applyBorder="1" applyAlignment="1" applyProtection="1">
      <alignment horizontal="left" vertical="center" wrapText="1"/>
    </xf>
    <xf numFmtId="165" fontId="5" fillId="0" borderId="1" xfId="0" applyNumberFormat="1" applyFont="1" applyBorder="1" applyAlignment="1" applyProtection="1">
      <alignment horizontal="center" vertical="center" wrapText="1"/>
    </xf>
    <xf numFmtId="1" fontId="5" fillId="0" borderId="1" xfId="0" applyNumberFormat="1" applyFont="1" applyBorder="1" applyAlignment="1" applyProtection="1">
      <alignment horizontal="center" vertical="center" wrapText="1"/>
    </xf>
    <xf numFmtId="14" fontId="5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center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164" fontId="5" fillId="0" borderId="3" xfId="0" applyNumberFormat="1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vertical="center" wrapText="1"/>
    </xf>
    <xf numFmtId="0" fontId="4" fillId="0" borderId="0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/>
    <xf numFmtId="0" fontId="3" fillId="0" borderId="1" xfId="0" applyFont="1" applyBorder="1" applyAlignment="1" applyProtection="1">
      <alignment horizontal="left" vertical="center" wrapText="1"/>
      <protection locked="0"/>
    </xf>
    <xf numFmtId="49" fontId="5" fillId="0" borderId="8" xfId="0" applyNumberFormat="1" applyFont="1" applyBorder="1" applyAlignment="1" applyProtection="1">
      <alignment horizontal="center" vertical="center" wrapText="1"/>
    </xf>
    <xf numFmtId="164" fontId="5" fillId="0" borderId="2" xfId="0" applyNumberFormat="1" applyFont="1" applyBorder="1" applyAlignment="1" applyProtection="1">
      <alignment horizontal="left" vertical="center" wrapText="1"/>
    </xf>
    <xf numFmtId="1" fontId="5" fillId="0" borderId="4" xfId="0" applyNumberFormat="1" applyFont="1" applyBorder="1" applyAlignment="1" applyProtection="1">
      <alignment horizontal="center" vertical="center" wrapText="1"/>
    </xf>
    <xf numFmtId="14" fontId="5" fillId="0" borderId="4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0" xfId="0" applyFont="1" applyBorder="1" applyAlignment="1">
      <alignment wrapText="1"/>
    </xf>
    <xf numFmtId="49" fontId="5" fillId="0" borderId="9" xfId="0" applyNumberFormat="1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left" vertical="center" wrapText="1"/>
    </xf>
    <xf numFmtId="165" fontId="3" fillId="0" borderId="1" xfId="0" applyNumberFormat="1" applyFont="1" applyBorder="1" applyAlignment="1" applyProtection="1">
      <alignment horizontal="center" vertical="center" wrapText="1"/>
    </xf>
    <xf numFmtId="14" fontId="3" fillId="0" borderId="4" xfId="0" applyNumberFormat="1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center" wrapText="1"/>
    </xf>
    <xf numFmtId="0" fontId="3" fillId="0" borderId="1" xfId="0" applyFont="1" applyBorder="1" applyAlignment="1" applyProtection="1">
      <alignment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left" vertical="center" wrapText="1"/>
    </xf>
    <xf numFmtId="165" fontId="3" fillId="0" borderId="4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wrapText="1"/>
    </xf>
    <xf numFmtId="0" fontId="4" fillId="0" borderId="1" xfId="0" applyFont="1" applyBorder="1" applyAlignment="1" applyProtection="1">
      <alignment horizontal="left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vertical="center" wrapText="1"/>
    </xf>
    <xf numFmtId="0" fontId="3" fillId="0" borderId="13" xfId="0" applyFont="1" applyBorder="1"/>
    <xf numFmtId="0" fontId="3" fillId="0" borderId="9" xfId="0" applyFont="1" applyBorder="1" applyAlignment="1">
      <alignment horizontal="left"/>
    </xf>
    <xf numFmtId="0" fontId="3" fillId="0" borderId="9" xfId="0" applyFont="1" applyBorder="1"/>
    <xf numFmtId="0" fontId="4" fillId="0" borderId="13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Protection="1"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2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4" fillId="0" borderId="12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21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5" xfId="0" applyFont="1" applyFill="1" applyBorder="1" applyAlignment="1" applyProtection="1">
      <alignment horizontal="center" vertical="center" wrapText="1"/>
      <protection locked="0"/>
    </xf>
    <xf numFmtId="0" fontId="4" fillId="0" borderId="16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vertical="center" wrapText="1"/>
      <protection locked="0"/>
    </xf>
    <xf numFmtId="14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0" xfId="0" applyFont="1" applyBorder="1"/>
    <xf numFmtId="0" fontId="4" fillId="0" borderId="1" xfId="0" applyFont="1" applyFill="1" applyBorder="1" applyAlignment="1" applyProtection="1">
      <alignment vertical="center" wrapText="1"/>
      <protection locked="0"/>
    </xf>
    <xf numFmtId="0" fontId="4" fillId="0" borderId="2" xfId="0" applyFont="1" applyFill="1" applyBorder="1" applyAlignment="1" applyProtection="1">
      <alignment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14" fontId="5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blioteca.fm.usp.br\SDG\Estatisticas\SPD\2019\SPD_Estatistica_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Treinamentos de funcionários"/>
      <sheetName val="SEGUIDORES"/>
      <sheetName val="BLOG_PUBLICACOES"/>
      <sheetName val="FACEBOOK"/>
      <sheetName val="TWITTER"/>
      <sheetName val="tarefas_jc"/>
      <sheetName val="LilacsEduca"/>
      <sheetName val="BVS-OPI"/>
      <sheetName val="pc-opi"/>
      <sheetName val="gráficos_spd"/>
      <sheetName val="e-books"/>
      <sheetName val="Instagram"/>
      <sheetName val="Key"/>
      <sheetName val="RIBi"/>
    </sheetNames>
    <sheetDataSet>
      <sheetData sheetId="0">
        <row r="7">
          <cell r="B7" t="str">
            <v>Tipo de Capacitação</v>
          </cell>
          <cell r="C7" t="str">
            <v>Especificar o tipo "outros"</v>
          </cell>
          <cell r="D7" t="str">
            <v>Sigla da disciplina</v>
          </cell>
          <cell r="E7" t="str">
            <v>Nome</v>
          </cell>
          <cell r="F7" t="str">
            <v>Carga Horária</v>
          </cell>
          <cell r="G7" t="str">
            <v>Número de alunos matriculados/inscritos</v>
          </cell>
          <cell r="H7" t="str">
            <v xml:space="preserve">Data </v>
          </cell>
          <cell r="J7" t="str">
            <v>Período</v>
          </cell>
          <cell r="K7" t="str">
            <v>Ministrante</v>
          </cell>
          <cell r="L7" t="str">
            <v>Apresenta informações</v>
          </cell>
        </row>
        <row r="8">
          <cell r="H8" t="str">
            <v>Início</v>
          </cell>
          <cell r="I8" t="str">
            <v>Término</v>
          </cell>
          <cell r="L8" t="str">
            <v>DEDALUS</v>
          </cell>
          <cell r="M8" t="str">
            <v>SIBiNet</v>
          </cell>
        </row>
        <row r="9">
          <cell r="B9" t="str">
            <v>Visita Orientada</v>
          </cell>
          <cell r="E9" t="str">
            <v>Profª Valeria Aoki</v>
          </cell>
          <cell r="F9">
            <v>2.0833333333333332E-2</v>
          </cell>
          <cell r="G9">
            <v>4</v>
          </cell>
          <cell r="H9">
            <v>43473</v>
          </cell>
          <cell r="I9">
            <v>43473</v>
          </cell>
          <cell r="J9" t="str">
            <v>manhã</v>
          </cell>
          <cell r="K9" t="str">
            <v>Erinalva</v>
          </cell>
        </row>
        <row r="10">
          <cell r="B10" t="str">
            <v>Treinamento</v>
          </cell>
          <cell r="E10" t="str">
            <v>OPI, PubMed, Scopus, Web of Science, EndNote, ResearcherID, ORCIS</v>
          </cell>
          <cell r="F10">
            <v>0.14583333333333334</v>
          </cell>
          <cell r="G10">
            <v>5</v>
          </cell>
          <cell r="H10">
            <v>43495</v>
          </cell>
          <cell r="I10">
            <v>43495</v>
          </cell>
          <cell r="J10" t="str">
            <v>tarde</v>
          </cell>
          <cell r="K10" t="str">
            <v>Valéria</v>
          </cell>
          <cell r="L10" t="str">
            <v>x</v>
          </cell>
          <cell r="M10" t="str">
            <v>x</v>
          </cell>
        </row>
        <row r="11">
          <cell r="B11" t="str">
            <v>Visita Orientada</v>
          </cell>
          <cell r="E11" t="str">
            <v>Visita à Biblioteca - Professora Luciana Haddad</v>
          </cell>
          <cell r="F11">
            <v>4.1666666666666664E-2</v>
          </cell>
          <cell r="G11">
            <v>11</v>
          </cell>
          <cell r="H11">
            <v>43497</v>
          </cell>
          <cell r="I11">
            <v>43497</v>
          </cell>
          <cell r="J11" t="str">
            <v>manhã</v>
          </cell>
          <cell r="K11" t="str">
            <v>Valéria</v>
          </cell>
        </row>
        <row r="12">
          <cell r="B12" t="str">
            <v>Treinamento</v>
          </cell>
          <cell r="D12" t="str">
            <v>Departamento de Gastroenterologia</v>
          </cell>
          <cell r="E12" t="str">
            <v xml:space="preserve">Portal teses USP, BDTD, Fator de Impacto: JCR, SJR Scimago, Capes. 
Scopus e Web of Science (bibliometria, Indice H, métrica)
</v>
          </cell>
          <cell r="F12">
            <v>0.1875</v>
          </cell>
          <cell r="G12">
            <v>4</v>
          </cell>
          <cell r="H12">
            <v>43509</v>
          </cell>
          <cell r="I12">
            <v>43509</v>
          </cell>
          <cell r="J12" t="str">
            <v>tarde</v>
          </cell>
          <cell r="K12" t="str">
            <v>Valéria</v>
          </cell>
          <cell r="L12" t="str">
            <v>x</v>
          </cell>
          <cell r="M12" t="str">
            <v>x</v>
          </cell>
        </row>
        <row r="13">
          <cell r="B13" t="str">
            <v>Visita Orientada</v>
          </cell>
          <cell r="E13" t="str">
            <v>Visita à Biblioteca - Professor Chao</v>
          </cell>
          <cell r="F13">
            <v>4.1666666666666664E-2</v>
          </cell>
          <cell r="G13">
            <v>10</v>
          </cell>
          <cell r="H13">
            <v>43511</v>
          </cell>
          <cell r="I13">
            <v>43511</v>
          </cell>
          <cell r="J13" t="str">
            <v>tarde</v>
          </cell>
          <cell r="K13" t="str">
            <v>Valéria</v>
          </cell>
        </row>
        <row r="14">
          <cell r="B14" t="str">
            <v>Aulas a convite da Unidade</v>
          </cell>
          <cell r="D14" t="str">
            <v>MFT1010</v>
          </cell>
          <cell r="E14" t="str">
            <v>Bases de Dados, EndNote, Mendeley</v>
          </cell>
          <cell r="F14">
            <v>6.25E-2</v>
          </cell>
          <cell r="G14">
            <v>26</v>
          </cell>
          <cell r="H14">
            <v>43524</v>
          </cell>
          <cell r="I14">
            <v>43524</v>
          </cell>
          <cell r="J14" t="str">
            <v>manhã</v>
          </cell>
          <cell r="K14" t="str">
            <v>Valéria/Eidi</v>
          </cell>
          <cell r="L14" t="str">
            <v>x</v>
          </cell>
          <cell r="M14" t="str">
            <v>x</v>
          </cell>
        </row>
        <row r="15">
          <cell r="B15" t="str">
            <v>Aulas a convite da Unidade</v>
          </cell>
          <cell r="D15" t="str">
            <v xml:space="preserve">MFT 0711 </v>
          </cell>
          <cell r="E15" t="str">
            <v>Site da Biblioteca, DEDALUS, Busca Integrada, Bases de Dados</v>
          </cell>
          <cell r="F15">
            <v>0.125</v>
          </cell>
          <cell r="G15">
            <v>25</v>
          </cell>
          <cell r="H15">
            <v>43536</v>
          </cell>
          <cell r="I15">
            <v>43536</v>
          </cell>
          <cell r="J15" t="str">
            <v>manhã</v>
          </cell>
          <cell r="K15" t="str">
            <v>Valéria</v>
          </cell>
          <cell r="L15" t="str">
            <v>x</v>
          </cell>
          <cell r="M15" t="str">
            <v>x</v>
          </cell>
        </row>
        <row r="16">
          <cell r="B16" t="str">
            <v>Visita Orientada</v>
          </cell>
          <cell r="D16" t="str">
            <v>MFT 0712</v>
          </cell>
          <cell r="E16" t="str">
            <v>Visita à Biblioteca - Profa. Talita Naiara Rossi da Silva</v>
          </cell>
          <cell r="F16">
            <v>3.4722222222222224E-4</v>
          </cell>
          <cell r="G16">
            <v>25</v>
          </cell>
          <cell r="H16">
            <v>43536</v>
          </cell>
          <cell r="I16">
            <v>43536</v>
          </cell>
          <cell r="J16" t="str">
            <v>manhã</v>
          </cell>
          <cell r="K16" t="str">
            <v>Valéria</v>
          </cell>
        </row>
        <row r="17">
          <cell r="B17" t="str">
            <v>Aulas a convite da Unidade</v>
          </cell>
          <cell r="D17" t="str">
            <v xml:space="preserve">MSP1010 </v>
          </cell>
          <cell r="E17" t="str">
            <v xml:space="preserve">Site da Biblioteca, DEDALUS, Busca Integrada, Livros eletrônicos </v>
          </cell>
          <cell r="F17">
            <v>0.16666666666666666</v>
          </cell>
          <cell r="G17">
            <v>82</v>
          </cell>
          <cell r="H17">
            <v>43542</v>
          </cell>
          <cell r="I17">
            <v>43542</v>
          </cell>
          <cell r="J17" t="str">
            <v>manhã</v>
          </cell>
          <cell r="K17" t="str">
            <v>Valéria/Eidi</v>
          </cell>
          <cell r="L17" t="str">
            <v>x</v>
          </cell>
          <cell r="M17" t="str">
            <v>x</v>
          </cell>
        </row>
        <row r="18">
          <cell r="B18" t="str">
            <v>Aulas a convite da Unidade</v>
          </cell>
          <cell r="D18" t="str">
            <v xml:space="preserve">MSP1010 </v>
          </cell>
          <cell r="E18" t="str">
            <v xml:space="preserve">Site da Biblioteca, DEDALUS, Busca Integrada, Livros eletrônicos </v>
          </cell>
          <cell r="F18">
            <v>0.16666666666666666</v>
          </cell>
          <cell r="G18">
            <v>83</v>
          </cell>
          <cell r="H18">
            <v>43542</v>
          </cell>
          <cell r="I18">
            <v>43542</v>
          </cell>
          <cell r="J18" t="str">
            <v>tarde</v>
          </cell>
          <cell r="K18" t="str">
            <v>Valéria/Eidi</v>
          </cell>
          <cell r="L18" t="str">
            <v>x</v>
          </cell>
          <cell r="M18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A2" workbookViewId="0">
      <selection activeCell="K86" sqref="K86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8" width="10.42578125" bestFit="1" customWidth="1"/>
    <col min="9" max="9" width="7.8554687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1"/>
    </row>
    <row r="3" spans="1:11" ht="13.5" customHeigh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1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5" t="s">
        <v>15</v>
      </c>
      <c r="B7" s="5"/>
      <c r="C7" s="5"/>
      <c r="D7" s="5"/>
      <c r="E7" s="5"/>
      <c r="F7" s="5"/>
      <c r="G7" s="5"/>
      <c r="H7" s="5"/>
      <c r="I7" s="5"/>
      <c r="J7" s="5"/>
    </row>
    <row r="8" spans="1:11" ht="8.2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1" ht="22.5" customHeight="1" x14ac:dyDescent="0.25">
      <c r="A9" s="7" t="s">
        <v>1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13</v>
      </c>
      <c r="G9" s="10" t="s">
        <v>12</v>
      </c>
      <c r="H9" s="11"/>
      <c r="I9" s="12" t="s">
        <v>9</v>
      </c>
      <c r="J9" s="12" t="s">
        <v>8</v>
      </c>
    </row>
    <row r="10" spans="1:11" ht="27" customHeight="1" x14ac:dyDescent="0.25">
      <c r="A10" s="8"/>
      <c r="B10" s="8"/>
      <c r="C10" s="8"/>
      <c r="D10" s="8"/>
      <c r="E10" s="8"/>
      <c r="F10" s="8"/>
      <c r="G10" s="2" t="s">
        <v>10</v>
      </c>
      <c r="H10" s="2" t="s">
        <v>11</v>
      </c>
      <c r="I10" s="13"/>
      <c r="J10" s="13"/>
    </row>
    <row r="11" spans="1:11" ht="25.5" x14ac:dyDescent="0.25">
      <c r="A11" s="14" t="s">
        <v>16</v>
      </c>
      <c r="B11" s="15"/>
      <c r="C11" s="15"/>
      <c r="D11" s="16" t="s">
        <v>17</v>
      </c>
      <c r="E11" s="17">
        <v>2.0833333333333332E-2</v>
      </c>
      <c r="F11" s="18">
        <v>4</v>
      </c>
      <c r="G11" s="19">
        <v>43473</v>
      </c>
      <c r="H11" s="19">
        <v>43473</v>
      </c>
      <c r="I11" s="15" t="s">
        <v>18</v>
      </c>
      <c r="J11" s="15" t="s">
        <v>19</v>
      </c>
    </row>
    <row r="12" spans="1:11" ht="38.25" x14ac:dyDescent="0.25">
      <c r="A12" s="20" t="s">
        <v>20</v>
      </c>
      <c r="B12" s="21"/>
      <c r="C12" s="20"/>
      <c r="D12" s="22" t="s">
        <v>21</v>
      </c>
      <c r="E12" s="23">
        <v>0.14583333333333334</v>
      </c>
      <c r="F12" s="24">
        <v>5</v>
      </c>
      <c r="G12" s="25">
        <v>43495</v>
      </c>
      <c r="H12" s="25">
        <v>43495</v>
      </c>
      <c r="I12" s="20" t="s">
        <v>22</v>
      </c>
      <c r="J12" s="20" t="s">
        <v>23</v>
      </c>
    </row>
    <row r="13" spans="1:11" ht="25.5" x14ac:dyDescent="0.25">
      <c r="A13" s="26" t="s">
        <v>16</v>
      </c>
      <c r="B13" s="27"/>
      <c r="C13" s="26"/>
      <c r="D13" s="28" t="s">
        <v>24</v>
      </c>
      <c r="E13" s="29">
        <v>4.1666666666666664E-2</v>
      </c>
      <c r="F13" s="30">
        <v>11</v>
      </c>
      <c r="G13" s="31">
        <v>43497</v>
      </c>
      <c r="H13" s="31">
        <v>43497</v>
      </c>
      <c r="I13" s="26" t="s">
        <v>18</v>
      </c>
      <c r="J13" s="26" t="s">
        <v>23</v>
      </c>
    </row>
    <row r="14" spans="1:11" ht="89.25" x14ac:dyDescent="0.25">
      <c r="A14" s="26" t="s">
        <v>20</v>
      </c>
      <c r="B14" s="27"/>
      <c r="C14" s="26" t="s">
        <v>25</v>
      </c>
      <c r="D14" s="28" t="s">
        <v>26</v>
      </c>
      <c r="E14" s="29">
        <v>0.1875</v>
      </c>
      <c r="F14" s="30">
        <v>4</v>
      </c>
      <c r="G14" s="31">
        <v>43509</v>
      </c>
      <c r="H14" s="31">
        <v>43509</v>
      </c>
      <c r="I14" s="26" t="s">
        <v>22</v>
      </c>
      <c r="J14" s="26" t="s">
        <v>23</v>
      </c>
    </row>
    <row r="15" spans="1:11" ht="25.5" x14ac:dyDescent="0.25">
      <c r="A15" s="26" t="s">
        <v>16</v>
      </c>
      <c r="B15" s="27"/>
      <c r="C15" s="32"/>
      <c r="D15" s="33" t="s">
        <v>27</v>
      </c>
      <c r="E15" s="29">
        <v>4.1666666666666664E-2</v>
      </c>
      <c r="F15" s="30">
        <v>10</v>
      </c>
      <c r="G15" s="31">
        <v>43511</v>
      </c>
      <c r="H15" s="31">
        <v>43511</v>
      </c>
      <c r="I15" s="26" t="s">
        <v>22</v>
      </c>
      <c r="J15" s="26" t="s">
        <v>23</v>
      </c>
    </row>
    <row r="16" spans="1:11" ht="25.5" x14ac:dyDescent="0.25">
      <c r="A16" s="26" t="s">
        <v>28</v>
      </c>
      <c r="B16" s="27"/>
      <c r="C16" s="34" t="s">
        <v>29</v>
      </c>
      <c r="D16" s="35" t="s">
        <v>30</v>
      </c>
      <c r="E16" s="29">
        <v>6.25E-2</v>
      </c>
      <c r="F16" s="30">
        <v>26</v>
      </c>
      <c r="G16" s="31">
        <v>43524</v>
      </c>
      <c r="H16" s="31">
        <v>43524</v>
      </c>
      <c r="I16" s="26" t="s">
        <v>18</v>
      </c>
      <c r="J16" s="26" t="s">
        <v>31</v>
      </c>
    </row>
    <row r="17" spans="1:10" ht="38.25" x14ac:dyDescent="0.25">
      <c r="A17" s="26" t="s">
        <v>28</v>
      </c>
      <c r="B17" s="26"/>
      <c r="C17" s="26" t="s">
        <v>32</v>
      </c>
      <c r="D17" s="36" t="s">
        <v>33</v>
      </c>
      <c r="E17" s="29">
        <v>0.125</v>
      </c>
      <c r="F17" s="30">
        <v>25</v>
      </c>
      <c r="G17" s="31">
        <v>43536</v>
      </c>
      <c r="H17" s="31">
        <v>43536</v>
      </c>
      <c r="I17" s="26" t="s">
        <v>18</v>
      </c>
      <c r="J17" s="26" t="s">
        <v>23</v>
      </c>
    </row>
    <row r="18" spans="1:10" ht="25.5" x14ac:dyDescent="0.25">
      <c r="A18" s="26" t="s">
        <v>16</v>
      </c>
      <c r="B18" s="26"/>
      <c r="C18" s="26" t="s">
        <v>34</v>
      </c>
      <c r="D18" s="37" t="s">
        <v>35</v>
      </c>
      <c r="E18" s="29">
        <v>3.4722222222222224E-4</v>
      </c>
      <c r="F18" s="30">
        <v>25</v>
      </c>
      <c r="G18" s="31">
        <v>43536</v>
      </c>
      <c r="H18" s="31">
        <v>43536</v>
      </c>
      <c r="I18" s="26" t="s">
        <v>18</v>
      </c>
      <c r="J18" s="26" t="s">
        <v>23</v>
      </c>
    </row>
    <row r="19" spans="1:10" ht="38.25" x14ac:dyDescent="0.25">
      <c r="A19" s="26" t="s">
        <v>28</v>
      </c>
      <c r="B19" s="26"/>
      <c r="C19" s="26" t="s">
        <v>36</v>
      </c>
      <c r="D19" s="28" t="s">
        <v>37</v>
      </c>
      <c r="E19" s="29">
        <v>0.16666666666666666</v>
      </c>
      <c r="F19" s="30">
        <v>82</v>
      </c>
      <c r="G19" s="31">
        <v>43542</v>
      </c>
      <c r="H19" s="31">
        <v>43542</v>
      </c>
      <c r="I19" s="26" t="s">
        <v>18</v>
      </c>
      <c r="J19" s="26" t="s">
        <v>31</v>
      </c>
    </row>
    <row r="20" spans="1:10" ht="38.25" x14ac:dyDescent="0.25">
      <c r="A20" s="26" t="s">
        <v>28</v>
      </c>
      <c r="B20" s="26"/>
      <c r="C20" s="26" t="s">
        <v>36</v>
      </c>
      <c r="D20" s="28" t="s">
        <v>37</v>
      </c>
      <c r="E20" s="29">
        <v>0.16666666666666666</v>
      </c>
      <c r="F20" s="30">
        <v>83</v>
      </c>
      <c r="G20" s="31">
        <v>43542</v>
      </c>
      <c r="H20" s="31">
        <v>43542</v>
      </c>
      <c r="I20" s="26" t="s">
        <v>22</v>
      </c>
      <c r="J20" s="26" t="s">
        <v>31</v>
      </c>
    </row>
    <row r="21" spans="1:10" s="3" customFormat="1" ht="42.75" customHeight="1" x14ac:dyDescent="0.25">
      <c r="A21" s="26" t="s">
        <v>16</v>
      </c>
      <c r="B21" s="26"/>
      <c r="C21" s="26" t="s">
        <v>36</v>
      </c>
      <c r="D21" s="28" t="s">
        <v>38</v>
      </c>
      <c r="E21" s="29">
        <v>2.0833333333333332E-2</v>
      </c>
      <c r="F21" s="30">
        <v>82</v>
      </c>
      <c r="G21" s="31">
        <v>43542</v>
      </c>
      <c r="H21" s="31">
        <v>43542</v>
      </c>
      <c r="I21" s="26" t="s">
        <v>18</v>
      </c>
      <c r="J21" s="26" t="s">
        <v>31</v>
      </c>
    </row>
    <row r="22" spans="1:10" ht="25.5" x14ac:dyDescent="0.25">
      <c r="A22" s="26" t="s">
        <v>16</v>
      </c>
      <c r="B22" s="26"/>
      <c r="C22" s="26" t="s">
        <v>36</v>
      </c>
      <c r="D22" s="28" t="s">
        <v>38</v>
      </c>
      <c r="E22" s="29">
        <v>2.0833333333333332E-2</v>
      </c>
      <c r="F22" s="30">
        <v>83</v>
      </c>
      <c r="G22" s="31">
        <v>43542</v>
      </c>
      <c r="H22" s="31">
        <v>43542</v>
      </c>
      <c r="I22" s="26" t="s">
        <v>22</v>
      </c>
      <c r="J22" s="26" t="s">
        <v>31</v>
      </c>
    </row>
    <row r="23" spans="1:10" s="3" customFormat="1" ht="38.25" x14ac:dyDescent="0.25">
      <c r="A23" s="26" t="s">
        <v>28</v>
      </c>
      <c r="B23" s="26"/>
      <c r="C23" s="26" t="s">
        <v>36</v>
      </c>
      <c r="D23" s="28" t="s">
        <v>37</v>
      </c>
      <c r="E23" s="29">
        <v>0.16666666666666666</v>
      </c>
      <c r="F23" s="30">
        <v>79</v>
      </c>
      <c r="G23" s="31">
        <v>43549</v>
      </c>
      <c r="H23" s="31">
        <v>43549</v>
      </c>
      <c r="I23" s="26" t="s">
        <v>18</v>
      </c>
      <c r="J23" s="26" t="s">
        <v>31</v>
      </c>
    </row>
    <row r="24" spans="1:10" s="3" customFormat="1" ht="38.25" x14ac:dyDescent="0.25">
      <c r="A24" s="26" t="s">
        <v>28</v>
      </c>
      <c r="B24" s="26"/>
      <c r="C24" s="26" t="s">
        <v>36</v>
      </c>
      <c r="D24" s="28" t="s">
        <v>37</v>
      </c>
      <c r="E24" s="29">
        <v>0.16666666666666666</v>
      </c>
      <c r="F24" s="30">
        <v>84</v>
      </c>
      <c r="G24" s="31">
        <v>43549</v>
      </c>
      <c r="H24" s="31">
        <v>43549</v>
      </c>
      <c r="I24" s="26" t="s">
        <v>22</v>
      </c>
      <c r="J24" s="26" t="s">
        <v>31</v>
      </c>
    </row>
    <row r="25" spans="1:10" ht="30.75" customHeight="1" x14ac:dyDescent="0.25">
      <c r="A25" s="38" t="s">
        <v>16</v>
      </c>
      <c r="B25" s="39"/>
      <c r="C25" s="38"/>
      <c r="D25" s="40" t="s">
        <v>39</v>
      </c>
      <c r="E25" s="17">
        <v>1.3888888888888888E-2</v>
      </c>
      <c r="F25" s="38">
        <v>10</v>
      </c>
      <c r="G25" s="41">
        <v>43549</v>
      </c>
      <c r="H25" s="41">
        <v>43549</v>
      </c>
      <c r="I25" s="42" t="s">
        <v>40</v>
      </c>
      <c r="J25" s="26" t="s">
        <v>23</v>
      </c>
    </row>
    <row r="26" spans="1:10" s="3" customFormat="1" ht="63.75" x14ac:dyDescent="0.2">
      <c r="A26" s="26" t="s">
        <v>28</v>
      </c>
      <c r="B26" s="28" t="s">
        <v>41</v>
      </c>
      <c r="C26" s="26"/>
      <c r="D26" s="43" t="s">
        <v>42</v>
      </c>
      <c r="E26" s="29">
        <v>0.16666666666666666</v>
      </c>
      <c r="F26" s="30">
        <v>13</v>
      </c>
      <c r="G26" s="31">
        <v>43553</v>
      </c>
      <c r="H26" s="31">
        <v>43553</v>
      </c>
      <c r="I26" s="26" t="s">
        <v>22</v>
      </c>
      <c r="J26" s="26" t="s">
        <v>23</v>
      </c>
    </row>
    <row r="27" spans="1:10" s="3" customFormat="1" ht="25.5" x14ac:dyDescent="0.25">
      <c r="A27" s="38" t="s">
        <v>16</v>
      </c>
      <c r="B27" s="39"/>
      <c r="C27" s="38"/>
      <c r="D27" s="44" t="s">
        <v>43</v>
      </c>
      <c r="E27" s="17">
        <v>2.0833333333333332E-2</v>
      </c>
      <c r="F27" s="38">
        <v>1</v>
      </c>
      <c r="G27" s="41">
        <v>43558</v>
      </c>
      <c r="H27" s="41">
        <v>43558</v>
      </c>
      <c r="I27" s="38" t="s">
        <v>22</v>
      </c>
      <c r="J27" s="26" t="s">
        <v>23</v>
      </c>
    </row>
    <row r="28" spans="1:10" s="3" customFormat="1" ht="25.5" x14ac:dyDescent="0.25">
      <c r="A28" s="26" t="s">
        <v>20</v>
      </c>
      <c r="B28" s="26"/>
      <c r="C28" s="26"/>
      <c r="D28" s="28" t="s">
        <v>44</v>
      </c>
      <c r="E28" s="29">
        <v>0.125</v>
      </c>
      <c r="F28" s="30">
        <v>69</v>
      </c>
      <c r="G28" s="31">
        <v>43565</v>
      </c>
      <c r="H28" s="31">
        <v>43565</v>
      </c>
      <c r="I28" s="26" t="s">
        <v>22</v>
      </c>
      <c r="J28" s="26" t="s">
        <v>23</v>
      </c>
    </row>
    <row r="29" spans="1:10" s="3" customFormat="1" ht="18.75" customHeight="1" x14ac:dyDescent="0.25">
      <c r="A29" s="26" t="s">
        <v>20</v>
      </c>
      <c r="B29" s="26"/>
      <c r="C29" s="26"/>
      <c r="D29" s="28" t="s">
        <v>45</v>
      </c>
      <c r="E29" s="29">
        <v>0.125</v>
      </c>
      <c r="F29" s="30">
        <v>38</v>
      </c>
      <c r="G29" s="31">
        <v>43573</v>
      </c>
      <c r="H29" s="31">
        <v>43573</v>
      </c>
      <c r="I29" s="26" t="s">
        <v>18</v>
      </c>
      <c r="J29" s="26" t="s">
        <v>23</v>
      </c>
    </row>
    <row r="30" spans="1:10" x14ac:dyDescent="0.25">
      <c r="A30" s="45" t="s">
        <v>20</v>
      </c>
      <c r="B30" s="26"/>
      <c r="C30" s="26"/>
      <c r="D30" s="46" t="s">
        <v>46</v>
      </c>
      <c r="E30" s="29">
        <v>0.125</v>
      </c>
      <c r="F30" s="47">
        <v>45</v>
      </c>
      <c r="G30" s="48">
        <v>43588</v>
      </c>
      <c r="H30" s="48">
        <v>43588</v>
      </c>
      <c r="I30" s="27" t="s">
        <v>18</v>
      </c>
      <c r="J30" s="26" t="s">
        <v>23</v>
      </c>
    </row>
    <row r="31" spans="1:10" x14ac:dyDescent="0.25">
      <c r="A31" s="26" t="s">
        <v>20</v>
      </c>
      <c r="B31" s="26"/>
      <c r="C31" s="26"/>
      <c r="D31" s="28" t="s">
        <v>47</v>
      </c>
      <c r="E31" s="29">
        <v>0.125</v>
      </c>
      <c r="F31" s="30">
        <v>62</v>
      </c>
      <c r="G31" s="31">
        <v>43609</v>
      </c>
      <c r="H31" s="31">
        <v>43609</v>
      </c>
      <c r="I31" s="26" t="s">
        <v>18</v>
      </c>
      <c r="J31" s="26" t="s">
        <v>48</v>
      </c>
    </row>
    <row r="32" spans="1:10" x14ac:dyDescent="0.25">
      <c r="A32" s="26" t="s">
        <v>20</v>
      </c>
      <c r="B32" s="26"/>
      <c r="C32" s="26"/>
      <c r="D32" s="28" t="s">
        <v>49</v>
      </c>
      <c r="E32" s="29">
        <v>0.125</v>
      </c>
      <c r="F32" s="30">
        <v>29</v>
      </c>
      <c r="G32" s="31">
        <v>43609</v>
      </c>
      <c r="H32" s="31">
        <v>43609</v>
      </c>
      <c r="I32" s="26" t="s">
        <v>18</v>
      </c>
      <c r="J32" s="26" t="s">
        <v>23</v>
      </c>
    </row>
    <row r="33" spans="1:10" x14ac:dyDescent="0.25">
      <c r="A33" s="26" t="s">
        <v>20</v>
      </c>
      <c r="B33" s="26"/>
      <c r="C33" s="26"/>
      <c r="D33" s="28" t="s">
        <v>49</v>
      </c>
      <c r="E33" s="29">
        <v>0.125</v>
      </c>
      <c r="F33" s="30">
        <v>25</v>
      </c>
      <c r="G33" s="31">
        <v>43616</v>
      </c>
      <c r="H33" s="31">
        <v>43616</v>
      </c>
      <c r="I33" s="26" t="s">
        <v>18</v>
      </c>
      <c r="J33" s="26" t="s">
        <v>23</v>
      </c>
    </row>
    <row r="34" spans="1:10" x14ac:dyDescent="0.25">
      <c r="A34" s="26" t="s">
        <v>20</v>
      </c>
      <c r="B34" s="26"/>
      <c r="C34" s="26"/>
      <c r="D34" s="49" t="s">
        <v>50</v>
      </c>
      <c r="E34" s="29">
        <v>0.125</v>
      </c>
      <c r="F34" s="30">
        <v>12</v>
      </c>
      <c r="G34" s="31">
        <v>43619</v>
      </c>
      <c r="H34" s="31">
        <v>43619</v>
      </c>
      <c r="I34" s="26" t="s">
        <v>18</v>
      </c>
      <c r="J34" s="26" t="s">
        <v>23</v>
      </c>
    </row>
    <row r="35" spans="1:10" ht="25.5" x14ac:dyDescent="0.25">
      <c r="A35" s="26" t="s">
        <v>20</v>
      </c>
      <c r="B35" s="26"/>
      <c r="C35" s="26"/>
      <c r="D35" s="28" t="s">
        <v>44</v>
      </c>
      <c r="E35" s="29">
        <v>0.125</v>
      </c>
      <c r="F35" s="30">
        <v>40</v>
      </c>
      <c r="G35" s="31">
        <v>43621</v>
      </c>
      <c r="H35" s="31">
        <v>43621</v>
      </c>
      <c r="I35" s="26" t="s">
        <v>18</v>
      </c>
      <c r="J35" s="26" t="s">
        <v>23</v>
      </c>
    </row>
    <row r="36" spans="1:10" ht="64.5" x14ac:dyDescent="0.25">
      <c r="A36" s="26" t="s">
        <v>28</v>
      </c>
      <c r="B36" s="26"/>
      <c r="C36" s="50" t="s">
        <v>51</v>
      </c>
      <c r="D36" s="28" t="s">
        <v>52</v>
      </c>
      <c r="E36" s="29">
        <v>0.14583333333333334</v>
      </c>
      <c r="F36" s="30">
        <v>16</v>
      </c>
      <c r="G36" s="31">
        <v>43627</v>
      </c>
      <c r="H36" s="31">
        <v>43627</v>
      </c>
      <c r="I36" s="26" t="s">
        <v>18</v>
      </c>
      <c r="J36" s="26" t="s">
        <v>23</v>
      </c>
    </row>
    <row r="37" spans="1:10" ht="64.5" x14ac:dyDescent="0.25">
      <c r="A37" s="26" t="s">
        <v>28</v>
      </c>
      <c r="B37" s="26"/>
      <c r="C37" s="50" t="s">
        <v>51</v>
      </c>
      <c r="D37" s="28" t="s">
        <v>52</v>
      </c>
      <c r="E37" s="29">
        <v>0.125</v>
      </c>
      <c r="F37" s="30">
        <v>16</v>
      </c>
      <c r="G37" s="31">
        <v>43628</v>
      </c>
      <c r="H37" s="31">
        <v>43628</v>
      </c>
      <c r="I37" s="26" t="s">
        <v>22</v>
      </c>
      <c r="J37" s="26" t="s">
        <v>23</v>
      </c>
    </row>
    <row r="38" spans="1:10" ht="64.5" x14ac:dyDescent="0.25">
      <c r="A38" s="26" t="s">
        <v>28</v>
      </c>
      <c r="B38" s="26"/>
      <c r="C38" s="51" t="s">
        <v>51</v>
      </c>
      <c r="D38" s="28" t="s">
        <v>52</v>
      </c>
      <c r="E38" s="29">
        <v>0.14583333333333334</v>
      </c>
      <c r="F38" s="30">
        <v>3</v>
      </c>
      <c r="G38" s="31">
        <v>43629</v>
      </c>
      <c r="H38" s="31">
        <v>43629</v>
      </c>
      <c r="I38" s="26" t="s">
        <v>22</v>
      </c>
      <c r="J38" s="26" t="s">
        <v>23</v>
      </c>
    </row>
    <row r="39" spans="1:10" ht="64.5" x14ac:dyDescent="0.25">
      <c r="A39" s="26" t="s">
        <v>28</v>
      </c>
      <c r="B39" s="26"/>
      <c r="C39" s="52" t="s">
        <v>51</v>
      </c>
      <c r="D39" s="28" t="s">
        <v>52</v>
      </c>
      <c r="E39" s="29">
        <v>0.14583333333333334</v>
      </c>
      <c r="F39" s="30">
        <v>16</v>
      </c>
      <c r="G39" s="31">
        <v>43630</v>
      </c>
      <c r="H39" s="31">
        <v>43630</v>
      </c>
      <c r="I39" s="26" t="s">
        <v>18</v>
      </c>
      <c r="J39" s="26" t="s">
        <v>23</v>
      </c>
    </row>
    <row r="40" spans="1:10" ht="25.5" x14ac:dyDescent="0.25">
      <c r="A40" s="26" t="s">
        <v>28</v>
      </c>
      <c r="B40" s="26"/>
      <c r="C40" s="50"/>
      <c r="D40" s="28" t="s">
        <v>53</v>
      </c>
      <c r="E40" s="29">
        <v>0.125</v>
      </c>
      <c r="F40" s="30">
        <v>17</v>
      </c>
      <c r="G40" s="31">
        <v>43630</v>
      </c>
      <c r="H40" s="31">
        <v>43630</v>
      </c>
      <c r="I40" s="26" t="s">
        <v>54</v>
      </c>
      <c r="J40" s="26" t="s">
        <v>23</v>
      </c>
    </row>
    <row r="41" spans="1:10" ht="38.25" x14ac:dyDescent="0.25">
      <c r="A41" s="26" t="s">
        <v>28</v>
      </c>
      <c r="B41" s="26"/>
      <c r="C41" s="26"/>
      <c r="D41" s="28" t="s">
        <v>55</v>
      </c>
      <c r="E41" s="29">
        <v>0.125</v>
      </c>
      <c r="F41" s="30">
        <v>10</v>
      </c>
      <c r="G41" s="31">
        <v>43630</v>
      </c>
      <c r="H41" s="31">
        <v>43630</v>
      </c>
      <c r="I41" s="26" t="s">
        <v>18</v>
      </c>
      <c r="J41" s="26" t="s">
        <v>23</v>
      </c>
    </row>
    <row r="42" spans="1:10" x14ac:dyDescent="0.25">
      <c r="A42" s="45" t="s">
        <v>20</v>
      </c>
      <c r="B42" s="26"/>
      <c r="C42" s="26"/>
      <c r="D42" s="46" t="s">
        <v>56</v>
      </c>
      <c r="E42" s="29">
        <v>8.3333333333333329E-2</v>
      </c>
      <c r="F42" s="47">
        <v>12</v>
      </c>
      <c r="G42" s="48">
        <v>43642</v>
      </c>
      <c r="H42" s="48">
        <v>43642</v>
      </c>
      <c r="I42" s="53" t="s">
        <v>18</v>
      </c>
      <c r="J42" s="26" t="s">
        <v>23</v>
      </c>
    </row>
    <row r="43" spans="1:10" ht="25.5" x14ac:dyDescent="0.25">
      <c r="A43" s="18" t="s">
        <v>16</v>
      </c>
      <c r="B43" s="54"/>
      <c r="C43" s="55"/>
      <c r="D43" s="54" t="s">
        <v>57</v>
      </c>
      <c r="E43" s="17">
        <v>2.0833333333333332E-2</v>
      </c>
      <c r="F43" s="18">
        <v>2</v>
      </c>
      <c r="G43" s="19">
        <v>43642</v>
      </c>
      <c r="H43" s="19">
        <v>43642</v>
      </c>
      <c r="I43" s="15" t="s">
        <v>18</v>
      </c>
      <c r="J43" s="26" t="s">
        <v>23</v>
      </c>
    </row>
    <row r="44" spans="1:10" ht="25.5" x14ac:dyDescent="0.25">
      <c r="A44" s="56" t="s">
        <v>16</v>
      </c>
      <c r="B44" s="57"/>
      <c r="C44" s="57"/>
      <c r="D44" s="58" t="s">
        <v>58</v>
      </c>
      <c r="E44" s="59">
        <v>6.25E-2</v>
      </c>
      <c r="F44" s="56">
        <v>61</v>
      </c>
      <c r="G44" s="60">
        <v>43661</v>
      </c>
      <c r="H44" s="60">
        <v>43661</v>
      </c>
      <c r="I44" s="57" t="s">
        <v>22</v>
      </c>
      <c r="J44" s="26" t="s">
        <v>23</v>
      </c>
    </row>
    <row r="45" spans="1:10" ht="25.5" x14ac:dyDescent="0.25">
      <c r="A45" s="56" t="s">
        <v>16</v>
      </c>
      <c r="B45" s="61"/>
      <c r="C45" s="62" t="s">
        <v>59</v>
      </c>
      <c r="D45" s="63"/>
      <c r="E45" s="59">
        <v>2.0833333333333332E-2</v>
      </c>
      <c r="F45" s="56">
        <v>25</v>
      </c>
      <c r="G45" s="60">
        <v>43679</v>
      </c>
      <c r="H45" s="60">
        <v>43679</v>
      </c>
      <c r="I45" s="62" t="s">
        <v>22</v>
      </c>
      <c r="J45" s="26" t="s">
        <v>23</v>
      </c>
    </row>
    <row r="46" spans="1:10" x14ac:dyDescent="0.25">
      <c r="A46" s="56" t="s">
        <v>20</v>
      </c>
      <c r="B46" s="64"/>
      <c r="C46" s="57"/>
      <c r="D46" s="58" t="s">
        <v>60</v>
      </c>
      <c r="E46" s="59">
        <v>4.1666666666666664E-2</v>
      </c>
      <c r="F46" s="56">
        <v>1</v>
      </c>
      <c r="G46" s="60">
        <v>43682</v>
      </c>
      <c r="H46" s="60">
        <v>43682</v>
      </c>
      <c r="I46" s="57" t="s">
        <v>18</v>
      </c>
      <c r="J46" s="26" t="s">
        <v>23</v>
      </c>
    </row>
    <row r="47" spans="1:10" ht="25.5" x14ac:dyDescent="0.25">
      <c r="A47" s="56" t="s">
        <v>16</v>
      </c>
      <c r="B47" s="65"/>
      <c r="C47" s="66" t="s">
        <v>61</v>
      </c>
      <c r="D47" s="67"/>
      <c r="E47" s="59">
        <v>2.7777777777777776E-2</v>
      </c>
      <c r="F47" s="68">
        <v>3</v>
      </c>
      <c r="G47" s="60">
        <v>43684</v>
      </c>
      <c r="H47" s="60">
        <v>43684</v>
      </c>
      <c r="I47" s="69" t="s">
        <v>18</v>
      </c>
      <c r="J47" s="26" t="s">
        <v>23</v>
      </c>
    </row>
    <row r="48" spans="1:10" ht="25.5" x14ac:dyDescent="0.25">
      <c r="A48" s="56" t="s">
        <v>20</v>
      </c>
      <c r="B48" s="70"/>
      <c r="C48" s="71" t="s">
        <v>62</v>
      </c>
      <c r="D48" s="72" t="s">
        <v>63</v>
      </c>
      <c r="E48" s="73">
        <v>9.375E-2</v>
      </c>
      <c r="F48" s="56">
        <v>5</v>
      </c>
      <c r="G48" s="60">
        <v>43704</v>
      </c>
      <c r="H48" s="60">
        <v>43704</v>
      </c>
      <c r="I48" s="71" t="s">
        <v>18</v>
      </c>
      <c r="J48" s="26" t="s">
        <v>23</v>
      </c>
    </row>
    <row r="49" spans="1:10" ht="25.5" x14ac:dyDescent="0.25">
      <c r="A49" s="68" t="s">
        <v>20</v>
      </c>
      <c r="B49" s="74"/>
      <c r="C49" s="32"/>
      <c r="D49" s="75" t="s">
        <v>64</v>
      </c>
      <c r="E49" s="59">
        <v>6.25E-2</v>
      </c>
      <c r="F49" s="68">
        <v>51</v>
      </c>
      <c r="G49" s="76">
        <v>43706</v>
      </c>
      <c r="H49" s="76">
        <v>43706</v>
      </c>
      <c r="I49" s="32" t="s">
        <v>18</v>
      </c>
      <c r="J49" s="26" t="s">
        <v>23</v>
      </c>
    </row>
    <row r="50" spans="1:10" ht="25.5" x14ac:dyDescent="0.25">
      <c r="A50" s="68" t="s">
        <v>28</v>
      </c>
      <c r="B50" s="65"/>
      <c r="C50" s="32"/>
      <c r="D50" s="75" t="s">
        <v>65</v>
      </c>
      <c r="E50" s="59"/>
      <c r="F50" s="68">
        <v>9</v>
      </c>
      <c r="G50" s="76">
        <v>43713</v>
      </c>
      <c r="H50" s="76">
        <v>43713</v>
      </c>
      <c r="I50" s="32" t="s">
        <v>22</v>
      </c>
      <c r="J50" s="26" t="s">
        <v>23</v>
      </c>
    </row>
    <row r="51" spans="1:10" ht="63.75" x14ac:dyDescent="0.25">
      <c r="A51" s="77" t="s">
        <v>28</v>
      </c>
      <c r="B51" s="78"/>
      <c r="C51" s="68" t="s">
        <v>66</v>
      </c>
      <c r="D51" s="79" t="s">
        <v>67</v>
      </c>
      <c r="E51" s="59">
        <v>4.1666666666666664E-2</v>
      </c>
      <c r="F51" s="56">
        <v>16</v>
      </c>
      <c r="G51" s="60">
        <v>43727</v>
      </c>
      <c r="H51" s="60">
        <v>43727</v>
      </c>
      <c r="I51" s="62" t="s">
        <v>22</v>
      </c>
      <c r="J51" s="62" t="s">
        <v>23</v>
      </c>
    </row>
    <row r="52" spans="1:10" ht="25.5" x14ac:dyDescent="0.25">
      <c r="A52" s="77" t="s">
        <v>20</v>
      </c>
      <c r="B52" s="65"/>
      <c r="C52" s="68"/>
      <c r="D52" s="61" t="s">
        <v>68</v>
      </c>
      <c r="E52" s="59">
        <v>4.1666666666666664E-2</v>
      </c>
      <c r="F52" s="56">
        <v>26</v>
      </c>
      <c r="G52" s="60">
        <v>43739</v>
      </c>
      <c r="H52" s="60">
        <v>43739</v>
      </c>
      <c r="I52" s="62" t="s">
        <v>69</v>
      </c>
      <c r="J52" s="62" t="s">
        <v>70</v>
      </c>
    </row>
    <row r="53" spans="1:10" x14ac:dyDescent="0.25">
      <c r="A53" s="77" t="s">
        <v>20</v>
      </c>
      <c r="B53" s="65"/>
      <c r="C53" s="68"/>
      <c r="D53" s="80" t="s">
        <v>71</v>
      </c>
      <c r="E53" s="59">
        <v>0.14583333333333334</v>
      </c>
      <c r="F53" s="56">
        <v>35</v>
      </c>
      <c r="G53" s="60">
        <v>43740</v>
      </c>
      <c r="H53" s="60">
        <v>43740</v>
      </c>
      <c r="I53" s="62" t="s">
        <v>18</v>
      </c>
      <c r="J53" s="62" t="s">
        <v>23</v>
      </c>
    </row>
    <row r="54" spans="1:10" x14ac:dyDescent="0.25">
      <c r="A54" s="77" t="s">
        <v>20</v>
      </c>
      <c r="B54" s="65"/>
      <c r="C54" s="68"/>
      <c r="D54" s="81" t="s">
        <v>72</v>
      </c>
      <c r="E54" s="59">
        <v>0.125</v>
      </c>
      <c r="F54" s="114">
        <v>1</v>
      </c>
      <c r="G54" s="60">
        <v>43742</v>
      </c>
      <c r="H54" s="60">
        <v>43742</v>
      </c>
      <c r="I54" s="62" t="s">
        <v>22</v>
      </c>
      <c r="J54" s="62" t="s">
        <v>23</v>
      </c>
    </row>
    <row r="55" spans="1:10" ht="25.5" x14ac:dyDescent="0.25">
      <c r="A55" s="82" t="s">
        <v>73</v>
      </c>
      <c r="B55" s="83"/>
      <c r="C55" s="84"/>
      <c r="D55" s="85" t="s">
        <v>74</v>
      </c>
      <c r="E55" s="86">
        <v>3.4722222222222224E-4</v>
      </c>
      <c r="F55" s="84">
        <v>9</v>
      </c>
      <c r="G55" s="87">
        <v>43742</v>
      </c>
      <c r="H55" s="87">
        <v>43742</v>
      </c>
      <c r="I55" s="88" t="s">
        <v>40</v>
      </c>
      <c r="J55" s="88" t="s">
        <v>19</v>
      </c>
    </row>
    <row r="56" spans="1:10" ht="25.5" x14ac:dyDescent="0.25">
      <c r="A56" s="89" t="s">
        <v>73</v>
      </c>
      <c r="B56" s="90"/>
      <c r="C56" s="91"/>
      <c r="D56" s="85" t="s">
        <v>75</v>
      </c>
      <c r="E56" s="92">
        <v>3.4722222222222224E-4</v>
      </c>
      <c r="F56" s="113">
        <v>4</v>
      </c>
      <c r="G56" s="93">
        <v>43745</v>
      </c>
      <c r="H56" s="93">
        <v>43745</v>
      </c>
      <c r="I56" s="94" t="s">
        <v>76</v>
      </c>
      <c r="J56" s="84" t="s">
        <v>77</v>
      </c>
    </row>
    <row r="57" spans="1:10" ht="25.5" x14ac:dyDescent="0.25">
      <c r="A57" s="95" t="s">
        <v>73</v>
      </c>
      <c r="B57" s="96"/>
      <c r="C57" s="84"/>
      <c r="D57" s="85" t="s">
        <v>78</v>
      </c>
      <c r="E57" s="86">
        <v>1.7361111111111112E-4</v>
      </c>
      <c r="F57" s="114">
        <v>1</v>
      </c>
      <c r="G57" s="97">
        <v>43745</v>
      </c>
      <c r="H57" s="97">
        <v>43745</v>
      </c>
      <c r="I57" s="98" t="s">
        <v>79</v>
      </c>
      <c r="J57" s="84" t="s">
        <v>19</v>
      </c>
    </row>
    <row r="58" spans="1:10" ht="25.5" x14ac:dyDescent="0.25">
      <c r="A58" s="95" t="s">
        <v>73</v>
      </c>
      <c r="B58" s="96"/>
      <c r="C58" s="84"/>
      <c r="D58" s="99" t="s">
        <v>80</v>
      </c>
      <c r="E58" s="86">
        <v>3.4722222222222224E-4</v>
      </c>
      <c r="F58" s="106">
        <v>3</v>
      </c>
      <c r="G58" s="97">
        <v>43745</v>
      </c>
      <c r="H58" s="97">
        <v>43745</v>
      </c>
      <c r="I58" s="98" t="s">
        <v>76</v>
      </c>
      <c r="J58" s="84" t="s">
        <v>77</v>
      </c>
    </row>
    <row r="59" spans="1:10" ht="25.5" x14ac:dyDescent="0.25">
      <c r="A59" s="100" t="s">
        <v>16</v>
      </c>
      <c r="B59" s="65"/>
      <c r="C59" s="68"/>
      <c r="D59" s="101" t="s">
        <v>81</v>
      </c>
      <c r="E59" s="59">
        <v>4.1666666666666664E-2</v>
      </c>
      <c r="F59" s="56">
        <v>3</v>
      </c>
      <c r="G59" s="60">
        <v>43754</v>
      </c>
      <c r="H59" s="60">
        <v>43754</v>
      </c>
      <c r="I59" s="102" t="s">
        <v>22</v>
      </c>
      <c r="J59" s="68" t="s">
        <v>82</v>
      </c>
    </row>
    <row r="60" spans="1:10" ht="25.5" x14ac:dyDescent="0.25">
      <c r="A60" s="100" t="s">
        <v>28</v>
      </c>
      <c r="B60" s="65"/>
      <c r="C60" s="68"/>
      <c r="D60" s="103" t="s">
        <v>83</v>
      </c>
      <c r="E60" s="59">
        <v>0.125</v>
      </c>
      <c r="F60" s="56">
        <v>9</v>
      </c>
      <c r="G60" s="60">
        <v>43755</v>
      </c>
      <c r="H60" s="60">
        <v>43755</v>
      </c>
      <c r="I60" s="102" t="s">
        <v>22</v>
      </c>
      <c r="J60" s="68" t="s">
        <v>23</v>
      </c>
    </row>
    <row r="61" spans="1:10" ht="25.5" x14ac:dyDescent="0.25">
      <c r="A61" s="95" t="s">
        <v>73</v>
      </c>
      <c r="B61" s="96"/>
      <c r="C61" s="84"/>
      <c r="D61" s="99" t="s">
        <v>84</v>
      </c>
      <c r="E61" s="86">
        <v>6.5972222222222224E-2</v>
      </c>
      <c r="F61" s="106">
        <v>6</v>
      </c>
      <c r="G61" s="97">
        <v>43762</v>
      </c>
      <c r="H61" s="97">
        <v>43762</v>
      </c>
      <c r="I61" s="98" t="s">
        <v>40</v>
      </c>
      <c r="J61" s="84" t="s">
        <v>85</v>
      </c>
    </row>
    <row r="62" spans="1:10" ht="25.5" x14ac:dyDescent="0.25">
      <c r="A62" s="100" t="s">
        <v>86</v>
      </c>
      <c r="B62" s="65"/>
      <c r="C62" s="68" t="s">
        <v>87</v>
      </c>
      <c r="D62" s="101" t="s">
        <v>88</v>
      </c>
      <c r="E62" s="59">
        <v>0.14583333333333334</v>
      </c>
      <c r="F62" s="56">
        <v>15</v>
      </c>
      <c r="G62" s="60">
        <v>43773</v>
      </c>
      <c r="H62" s="60">
        <v>43773</v>
      </c>
      <c r="I62" s="102" t="s">
        <v>18</v>
      </c>
      <c r="J62" s="26" t="s">
        <v>23</v>
      </c>
    </row>
    <row r="63" spans="1:10" ht="25.5" x14ac:dyDescent="0.25">
      <c r="A63" s="100" t="s">
        <v>86</v>
      </c>
      <c r="B63" s="65"/>
      <c r="C63" s="68" t="s">
        <v>89</v>
      </c>
      <c r="D63" s="101" t="s">
        <v>88</v>
      </c>
      <c r="E63" s="59">
        <v>0.14583333333333334</v>
      </c>
      <c r="F63" s="56">
        <v>15</v>
      </c>
      <c r="G63" s="60">
        <v>43775</v>
      </c>
      <c r="H63" s="60">
        <v>43775</v>
      </c>
      <c r="I63" s="102" t="s">
        <v>18</v>
      </c>
      <c r="J63" s="26" t="s">
        <v>23</v>
      </c>
    </row>
    <row r="64" spans="1:10" ht="25.5" x14ac:dyDescent="0.25">
      <c r="A64" s="100" t="s">
        <v>86</v>
      </c>
      <c r="B64" s="65"/>
      <c r="C64" s="68" t="s">
        <v>90</v>
      </c>
      <c r="D64" s="101" t="s">
        <v>88</v>
      </c>
      <c r="E64" s="59">
        <v>0.14583333333333334</v>
      </c>
      <c r="F64" s="56">
        <v>15</v>
      </c>
      <c r="G64" s="60">
        <v>43777</v>
      </c>
      <c r="H64" s="60">
        <v>43777</v>
      </c>
      <c r="I64" s="102" t="s">
        <v>18</v>
      </c>
      <c r="J64" s="26" t="s">
        <v>23</v>
      </c>
    </row>
    <row r="65" spans="1:10" ht="25.5" x14ac:dyDescent="0.25">
      <c r="A65" s="100" t="s">
        <v>86</v>
      </c>
      <c r="B65" s="65"/>
      <c r="C65" s="68" t="s">
        <v>91</v>
      </c>
      <c r="D65" s="101" t="s">
        <v>88</v>
      </c>
      <c r="E65" s="59">
        <v>0.14583333333333334</v>
      </c>
      <c r="F65" s="56">
        <v>12</v>
      </c>
      <c r="G65" s="60">
        <v>43780</v>
      </c>
      <c r="H65" s="60">
        <v>43780</v>
      </c>
      <c r="I65" s="102" t="s">
        <v>18</v>
      </c>
      <c r="J65" s="26" t="s">
        <v>23</v>
      </c>
    </row>
    <row r="66" spans="1:10" ht="25.5" x14ac:dyDescent="0.25">
      <c r="A66" s="100" t="s">
        <v>86</v>
      </c>
      <c r="B66" s="65"/>
      <c r="C66" s="68" t="s">
        <v>92</v>
      </c>
      <c r="D66" s="101" t="s">
        <v>88</v>
      </c>
      <c r="E66" s="59">
        <v>0.14583333333333334</v>
      </c>
      <c r="F66" s="56">
        <v>12</v>
      </c>
      <c r="G66" s="60">
        <v>43782</v>
      </c>
      <c r="H66" s="60">
        <v>43773</v>
      </c>
      <c r="I66" s="102" t="s">
        <v>18</v>
      </c>
      <c r="J66" s="26" t="s">
        <v>23</v>
      </c>
    </row>
    <row r="67" spans="1:10" ht="25.5" x14ac:dyDescent="0.25">
      <c r="A67" s="100" t="s">
        <v>86</v>
      </c>
      <c r="B67" s="65"/>
      <c r="C67" s="68" t="s">
        <v>93</v>
      </c>
      <c r="D67" s="101" t="s">
        <v>88</v>
      </c>
      <c r="E67" s="59">
        <v>0.14583333333333334</v>
      </c>
      <c r="F67" s="56">
        <v>12</v>
      </c>
      <c r="G67" s="60">
        <v>43787</v>
      </c>
      <c r="H67" s="60">
        <v>43773</v>
      </c>
      <c r="I67" s="102" t="s">
        <v>18</v>
      </c>
      <c r="J67" s="26" t="s">
        <v>23</v>
      </c>
    </row>
    <row r="68" spans="1:10" ht="25.5" x14ac:dyDescent="0.25">
      <c r="A68" s="100" t="s">
        <v>86</v>
      </c>
      <c r="B68" s="65"/>
      <c r="C68" s="68" t="s">
        <v>94</v>
      </c>
      <c r="D68" s="101" t="s">
        <v>88</v>
      </c>
      <c r="E68" s="59">
        <v>0.14583333333333334</v>
      </c>
      <c r="F68" s="56">
        <v>12</v>
      </c>
      <c r="G68" s="60">
        <v>43789</v>
      </c>
      <c r="H68" s="60">
        <v>43773</v>
      </c>
      <c r="I68" s="102" t="s">
        <v>18</v>
      </c>
      <c r="J68" s="26" t="s">
        <v>23</v>
      </c>
    </row>
    <row r="69" spans="1:10" ht="25.5" x14ac:dyDescent="0.25">
      <c r="A69" s="100" t="s">
        <v>86</v>
      </c>
      <c r="B69" s="65"/>
      <c r="C69" s="68" t="s">
        <v>95</v>
      </c>
      <c r="D69" s="101" t="s">
        <v>88</v>
      </c>
      <c r="E69" s="59">
        <v>0.14583333333333334</v>
      </c>
      <c r="F69" s="56">
        <v>12</v>
      </c>
      <c r="G69" s="60">
        <v>43791</v>
      </c>
      <c r="H69" s="60">
        <v>43773</v>
      </c>
      <c r="I69" s="102" t="s">
        <v>18</v>
      </c>
      <c r="J69" s="26" t="s">
        <v>23</v>
      </c>
    </row>
    <row r="70" spans="1:10" ht="25.5" x14ac:dyDescent="0.25">
      <c r="A70" s="95" t="s">
        <v>16</v>
      </c>
      <c r="B70" s="104"/>
      <c r="C70" s="84" t="s">
        <v>78</v>
      </c>
      <c r="D70" s="105" t="s">
        <v>96</v>
      </c>
      <c r="E70" s="86">
        <v>1.7361111111111112E-4</v>
      </c>
      <c r="F70" s="106">
        <v>1</v>
      </c>
      <c r="G70" s="97">
        <v>43791</v>
      </c>
      <c r="H70" s="97">
        <v>43791</v>
      </c>
      <c r="I70" s="98" t="s">
        <v>79</v>
      </c>
      <c r="J70" s="84" t="s">
        <v>19</v>
      </c>
    </row>
    <row r="71" spans="1:10" ht="25.5" x14ac:dyDescent="0.25">
      <c r="A71" s="100" t="s">
        <v>86</v>
      </c>
      <c r="B71" s="65"/>
      <c r="C71" s="68" t="s">
        <v>97</v>
      </c>
      <c r="D71" s="101" t="s">
        <v>88</v>
      </c>
      <c r="E71" s="59">
        <v>0.14583333333333334</v>
      </c>
      <c r="F71" s="56">
        <v>12</v>
      </c>
      <c r="G71" s="41">
        <v>43794</v>
      </c>
      <c r="H71" s="41">
        <v>43794</v>
      </c>
      <c r="I71" s="102" t="s">
        <v>18</v>
      </c>
      <c r="J71" s="26" t="s">
        <v>23</v>
      </c>
    </row>
    <row r="72" spans="1:10" ht="25.5" x14ac:dyDescent="0.25">
      <c r="A72" s="100" t="s">
        <v>86</v>
      </c>
      <c r="B72" s="65"/>
      <c r="C72" s="68" t="s">
        <v>87</v>
      </c>
      <c r="D72" s="101" t="s">
        <v>98</v>
      </c>
      <c r="E72" s="59">
        <v>0.125</v>
      </c>
      <c r="F72" s="56">
        <v>5</v>
      </c>
      <c r="G72" s="25">
        <v>43794</v>
      </c>
      <c r="H72" s="25">
        <v>43794</v>
      </c>
      <c r="I72" s="20" t="s">
        <v>22</v>
      </c>
      <c r="J72" s="26" t="s">
        <v>23</v>
      </c>
    </row>
    <row r="73" spans="1:10" ht="25.5" x14ac:dyDescent="0.25">
      <c r="A73" s="107" t="s">
        <v>86</v>
      </c>
      <c r="B73" s="65"/>
      <c r="C73" s="108" t="s">
        <v>99</v>
      </c>
      <c r="D73" s="65" t="s">
        <v>88</v>
      </c>
      <c r="E73" s="59">
        <v>0.14583333333333334</v>
      </c>
      <c r="F73" s="68">
        <v>12</v>
      </c>
      <c r="G73" s="19">
        <v>43796</v>
      </c>
      <c r="H73" s="19">
        <v>43796</v>
      </c>
      <c r="I73" s="108" t="s">
        <v>18</v>
      </c>
      <c r="J73" s="26" t="s">
        <v>23</v>
      </c>
    </row>
    <row r="74" spans="1:10" ht="25.5" x14ac:dyDescent="0.25">
      <c r="A74" s="109" t="s">
        <v>86</v>
      </c>
      <c r="B74" s="65"/>
      <c r="C74" s="68" t="s">
        <v>100</v>
      </c>
      <c r="D74" s="101" t="s">
        <v>88</v>
      </c>
      <c r="E74" s="59">
        <v>0.14583333333333334</v>
      </c>
      <c r="F74" s="56">
        <v>12</v>
      </c>
      <c r="G74" s="110">
        <v>43798</v>
      </c>
      <c r="H74" s="110">
        <v>43798</v>
      </c>
      <c r="I74" s="68" t="s">
        <v>18</v>
      </c>
      <c r="J74" s="26" t="s">
        <v>23</v>
      </c>
    </row>
    <row r="75" spans="1:10" ht="25.5" x14ac:dyDescent="0.25">
      <c r="A75" s="111" t="s">
        <v>86</v>
      </c>
      <c r="B75" s="104"/>
      <c r="C75" s="112" t="s">
        <v>87</v>
      </c>
      <c r="D75" s="101" t="s">
        <v>101</v>
      </c>
      <c r="E75" s="86">
        <v>4.1666666666666664E-2</v>
      </c>
      <c r="F75" s="106">
        <v>1</v>
      </c>
      <c r="G75" s="97">
        <v>43805</v>
      </c>
      <c r="H75" s="97">
        <v>43805</v>
      </c>
      <c r="I75" s="84" t="s">
        <v>76</v>
      </c>
      <c r="J75" s="26" t="s">
        <v>23</v>
      </c>
    </row>
    <row r="76" spans="1:10" x14ac:dyDescent="0.25">
      <c r="A76" s="111" t="s">
        <v>20</v>
      </c>
      <c r="B76" s="104"/>
      <c r="C76" s="84"/>
      <c r="D76" s="105" t="s">
        <v>102</v>
      </c>
      <c r="E76" s="86">
        <v>0.125</v>
      </c>
      <c r="F76" s="106">
        <v>6</v>
      </c>
      <c r="G76" s="97">
        <v>43805</v>
      </c>
      <c r="H76" s="97">
        <v>43805</v>
      </c>
      <c r="I76" s="84" t="s">
        <v>40</v>
      </c>
      <c r="J76" s="84" t="s">
        <v>23</v>
      </c>
    </row>
    <row r="77" spans="1:10" ht="25.5" x14ac:dyDescent="0.25">
      <c r="A77" s="111" t="s">
        <v>86</v>
      </c>
      <c r="B77" s="104"/>
      <c r="C77" s="113" t="s">
        <v>87</v>
      </c>
      <c r="D77" s="101" t="s">
        <v>103</v>
      </c>
      <c r="E77" s="86">
        <v>0.22916666666666666</v>
      </c>
      <c r="F77" s="106">
        <v>1</v>
      </c>
      <c r="G77" s="97">
        <v>43810</v>
      </c>
      <c r="H77" s="97">
        <v>43810</v>
      </c>
      <c r="I77" s="84" t="s">
        <v>76</v>
      </c>
      <c r="J77" s="84" t="s">
        <v>23</v>
      </c>
    </row>
    <row r="78" spans="1:10" x14ac:dyDescent="0.25">
      <c r="A78" s="111" t="s">
        <v>20</v>
      </c>
      <c r="B78" s="104"/>
      <c r="C78" s="84"/>
      <c r="D78" s="105" t="s">
        <v>104</v>
      </c>
      <c r="E78" s="86">
        <v>0.125</v>
      </c>
      <c r="F78" s="106">
        <v>4</v>
      </c>
      <c r="G78" s="97">
        <v>43812</v>
      </c>
      <c r="H78" s="97">
        <v>43812</v>
      </c>
      <c r="I78" s="84" t="s">
        <v>76</v>
      </c>
      <c r="J78" s="84" t="s">
        <v>23</v>
      </c>
    </row>
    <row r="79" spans="1:10" x14ac:dyDescent="0.25">
      <c r="A79" s="111" t="s">
        <v>20</v>
      </c>
      <c r="B79" s="104"/>
      <c r="C79" s="84"/>
      <c r="D79" s="105" t="s">
        <v>105</v>
      </c>
      <c r="E79" s="86">
        <v>0.125</v>
      </c>
      <c r="F79" s="106">
        <v>2</v>
      </c>
      <c r="G79" s="97">
        <v>43815</v>
      </c>
      <c r="H79" s="97">
        <v>43815</v>
      </c>
      <c r="I79" s="84" t="s">
        <v>40</v>
      </c>
      <c r="J79" s="84" t="s">
        <v>23</v>
      </c>
    </row>
    <row r="80" spans="1:10" x14ac:dyDescent="0.25">
      <c r="A80" s="84" t="s">
        <v>20</v>
      </c>
      <c r="B80" s="104"/>
      <c r="C80" s="84"/>
      <c r="D80" s="105" t="s">
        <v>105</v>
      </c>
      <c r="E80" s="86">
        <v>0.125</v>
      </c>
      <c r="F80" s="84">
        <v>1</v>
      </c>
      <c r="G80" s="87">
        <v>43816</v>
      </c>
      <c r="H80" s="87">
        <v>43816</v>
      </c>
      <c r="I80" s="84" t="s">
        <v>76</v>
      </c>
      <c r="J80" s="84" t="s">
        <v>23</v>
      </c>
    </row>
    <row r="81" spans="6:6" x14ac:dyDescent="0.25">
      <c r="F81">
        <f>SUM(F11:F80)</f>
        <v>1469</v>
      </c>
    </row>
  </sheetData>
  <mergeCells count="17"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5:J5"/>
    <mergeCell ref="A6:J6"/>
    <mergeCell ref="A7:J7"/>
    <mergeCell ref="A9:A10"/>
    <mergeCell ref="B9:B10"/>
    <mergeCell ref="C9:C10"/>
    <mergeCell ref="A8:J8"/>
  </mergeCells>
  <conditionalFormatting sqref="H19 G27:G28 G11:G19 G20:H21 G30:H50 G56:H80 F51:J52 F55:J55 G53:J54">
    <cfRule type="expression" dxfId="12" priority="6">
      <formula>OR(WEEKDAY(F11,2)=6,WEEKDAY(F11,2)=7)</formula>
    </cfRule>
  </conditionalFormatting>
  <conditionalFormatting sqref="H28 H11:H18 G25:G26">
    <cfRule type="expression" dxfId="10" priority="5">
      <formula>OR(WEEKDAY(G11,2)=6,WEEKDAY(G11,2)=7)</formula>
    </cfRule>
  </conditionalFormatting>
  <conditionalFormatting sqref="G29:H29">
    <cfRule type="expression" dxfId="8" priority="4">
      <formula>OR(WEEKDAY(G29,2)=6,WEEKDAY(G29,2)=7)</formula>
    </cfRule>
  </conditionalFormatting>
  <conditionalFormatting sqref="G23:H24">
    <cfRule type="expression" dxfId="6" priority="3">
      <formula>OR(WEEKDAY(G23,2)=6,WEEKDAY(G23,2)=7)</formula>
    </cfRule>
  </conditionalFormatting>
  <conditionalFormatting sqref="G22:H22">
    <cfRule type="expression" dxfId="4" priority="2">
      <formula>OR(WEEKDAY(G22,2)=6,WEEKDAY(G22,2)=7)</formula>
    </cfRule>
  </conditionalFormatting>
  <conditionalFormatting sqref="H25:H27">
    <cfRule type="expression" dxfId="2" priority="1">
      <formula>OR(WEEKDAY(H25,2)=6,WEEKDAY(H25,2)=7)</formula>
    </cfRule>
  </conditionalFormatting>
  <dataValidations count="3">
    <dataValidation type="list" allowBlank="1" showInputMessage="1" showErrorMessage="1" errorTitle="Tipo de capacitação" error="Escolha uma das opções da lista." sqref="A56:A80 A11:A50">
      <formula1>_xlnm.Print_Area</formula1>
    </dataValidation>
    <dataValidation type="date" operator="lessThanOrEqual" allowBlank="1" showInputMessage="1" showErrorMessage="1" errorTitle="Data de início" error="A data não pode ser posterior a hoje." sqref="H19:H27 H34 H29 G11:G24 H62:H64 H69:H71 H51:H55 G56:G80 G27:G50">
      <formula1>TODAY()</formula1>
    </dataValidation>
    <dataValidation type="date" allowBlank="1" showInputMessage="1" showErrorMessage="1" errorTitle="Data de término" error="A data de término não pode ser anterior à de início ou posterior a hoje." sqref="G25:G26 H11:H18 H65:H68 I51:I55 H56:H61 H72:H80 H35:H50 H28 H30:H33">
      <formula1>F11</formula1>
      <formula2>TODAY()</formula2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EIDI RAQUEL FRANCO ABDALLA</cp:lastModifiedBy>
  <cp:lastPrinted>2019-10-14T13:51:59Z</cp:lastPrinted>
  <dcterms:created xsi:type="dcterms:W3CDTF">2014-12-17T12:53:06Z</dcterms:created>
  <dcterms:modified xsi:type="dcterms:W3CDTF">2020-01-31T13:20:36Z</dcterms:modified>
</cp:coreProperties>
</file>