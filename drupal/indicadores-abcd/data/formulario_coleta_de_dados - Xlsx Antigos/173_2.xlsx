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CITACAO" sheetId="1" state="visible" r:id="rId2"/>
    <sheet name="Planilh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<sst xmlns="http://schemas.openxmlformats.org/spreadsheetml/2006/main" count="62" uniqueCount="48">
  <si>
    <t xml:space="preserve">Universidade de São Paulo</t>
  </si>
  <si>
    <t xml:space="preserve">Agência USP de Gestão da Informação Acadêmica</t>
  </si>
  <si>
    <t xml:space="preserve">Relatório Individual por Bibliotecas</t>
  </si>
  <si>
    <t xml:space="preserve">Formulário para Coleta de Dados das Atividades de Capacitação de Usuários </t>
  </si>
  <si>
    <t xml:space="preserve">Biblioteca/Unidade: IO</t>
  </si>
  <si>
    <t xml:space="preserve">Tipo de capacitação</t>
  </si>
  <si>
    <t xml:space="preserve">Especificar o tipo “Outros”</t>
  </si>
  <si>
    <t xml:space="preserve">Sigla da disciplina</t>
  </si>
  <si>
    <t xml:space="preserve">Nome</t>
  </si>
  <si>
    <t xml:space="preserve">Carga horária</t>
  </si>
  <si>
    <t xml:space="preserve">Nº de participantes / alunos matriculados</t>
  </si>
  <si>
    <t xml:space="preserve">Data</t>
  </si>
  <si>
    <t xml:space="preserve">Período</t>
  </si>
  <si>
    <t xml:space="preserve">Ministrante</t>
  </si>
  <si>
    <t xml:space="preserve">Início </t>
  </si>
  <si>
    <t xml:space="preserve">Término</t>
  </si>
  <si>
    <t xml:space="preserve">Curso</t>
  </si>
  <si>
    <t xml:space="preserve">WoS – Introdução</t>
  </si>
  <si>
    <t xml:space="preserve">Tarde</t>
  </si>
  <si>
    <t xml:space="preserve">Wagner Pinheiro</t>
  </si>
  <si>
    <t xml:space="preserve">Curso Flexível – VosViewer</t>
  </si>
  <si>
    <t xml:space="preserve">Manhã</t>
  </si>
  <si>
    <t xml:space="preserve">Curso Flexível – Scielo e Embase</t>
  </si>
  <si>
    <t xml:space="preserve">Capacitação de Usuários - Orientações de preenchimento</t>
  </si>
  <si>
    <t xml:space="preserve"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</si>
  <si>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 val="true"/>
        <u val="single"/>
        <sz val="9"/>
        <color rgb="FF000000"/>
        <rFont val="Calibri"/>
        <family val="2"/>
        <charset val="1"/>
      </rPr>
      <t xml:space="preserve">Tipo:</t>
    </r>
    <r>
      <rPr>
        <sz val="9"/>
        <color rgb="FF000000"/>
        <rFont val="Calibri"/>
        <family val="2"/>
        <charset val="1"/>
      </rPr>
      <t xml:space="preserve"> indicar o tipo de capacitação, utilizando as opções disponíveis:  
- </t>
    </r>
    <r>
      <rPr>
        <u val="single"/>
        <sz val="9"/>
        <color rgb="FF000000"/>
        <rFont val="Calibri"/>
        <family val="2"/>
        <charset val="1"/>
      </rPr>
      <t xml:space="preserve">Disciplina na Unidade</t>
    </r>
    <r>
      <rPr>
        <sz val="9"/>
        <color rgb="FF000000"/>
        <rFont val="Calibri"/>
        <family val="2"/>
        <charset val="1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 val="single"/>
        <sz val="9"/>
        <color rgb="FF000000"/>
        <rFont val="Calibri"/>
        <family val="2"/>
        <charset val="1"/>
      </rPr>
      <t xml:space="preserve">Palestra</t>
    </r>
    <r>
      <rPr>
        <sz val="9"/>
        <color rgb="FF000000"/>
        <rFont val="Calibri"/>
        <family val="2"/>
        <charset val="1"/>
      </rPr>
      <t xml:space="preserve">: conferência ou discussão sobre assunto científico/cultural.
- </t>
    </r>
    <r>
      <rPr>
        <u val="single"/>
        <sz val="9"/>
        <color rgb="FF000000"/>
        <rFont val="Calibri"/>
        <family val="2"/>
        <charset val="1"/>
      </rPr>
      <t xml:space="preserve">Visita Orientada</t>
    </r>
    <r>
      <rPr>
        <sz val="9"/>
        <color rgb="FF000000"/>
        <rFont val="Calibri"/>
        <family val="2"/>
        <charset val="1"/>
      </rPr>
      <t xml:space="preserve">: apresentação organizada pela Biblioteca para visitantes. 
-</t>
    </r>
    <r>
      <rPr>
        <u val="single"/>
        <sz val="9"/>
        <color rgb="FF000000"/>
        <rFont val="Calibri"/>
        <family val="2"/>
        <charset val="1"/>
      </rPr>
      <t xml:space="preserve"> Curso/Treinamento</t>
    </r>
    <r>
      <rPr>
        <sz val="9"/>
        <color rgb="FF000000"/>
        <rFont val="Calibri"/>
        <family val="2"/>
        <charset val="1"/>
      </rPr>
      <t xml:space="preserve">: adota-se como definição de curso uma série de aulas, conferências ou palestras sobre um ou vários temas, conexos ou não.
- </t>
    </r>
    <r>
      <rPr>
        <u val="single"/>
        <sz val="9"/>
        <color rgb="FF000000"/>
        <rFont val="Calibri"/>
        <family val="2"/>
        <charset val="1"/>
      </rPr>
      <t xml:space="preserve">Aulas a convite da Unidade</t>
    </r>
    <r>
      <rPr>
        <sz val="9"/>
        <color rgb="FF000000"/>
        <rFont val="Calibri"/>
        <family val="2"/>
        <charset val="1"/>
      </rPr>
      <t xml:space="preserve">: aulas/palestras ministradas em disciplinas de demais docentes da Unidade.
- </t>
    </r>
    <r>
      <rPr>
        <u val="single"/>
        <sz val="9"/>
        <color rgb="FF000000"/>
        <rFont val="Calibri"/>
        <family val="2"/>
        <charset val="1"/>
      </rPr>
      <t xml:space="preserve">Outros</t>
    </r>
    <r>
      <rPr>
        <sz val="9"/>
        <color rgb="FF000000"/>
        <rFont val="Calibri"/>
        <family val="2"/>
        <charset val="1"/>
      </rPr>
      <t xml:space="preserve">: outros tipos de capacitação não previstos. Especificar o tipo para permitir categorização dos mais freqüentes.
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</si>
  <si>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Nome</t>
    </r>
    <r>
      <rPr>
        <sz val="9"/>
        <color rgb="FF000000"/>
        <rFont val="Calibri"/>
        <family val="2"/>
        <charset val="1"/>
      </rPr>
      <t xml:space="preserve">: indicar o nome da capacitação ou conteúdo principal da mesma.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</si>
  <si>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Carga horária</t>
    </r>
    <r>
      <rPr>
        <sz val="9"/>
        <color rgb="FF000000"/>
        <rFont val="Calibri"/>
        <family val="2"/>
        <charset val="1"/>
      </rPr>
      <t xml:space="preserve">: indicar a carga horária total da capacitação.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</si>
  <si>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Nº de Participantes/Alunos matriculados</t>
    </r>
    <r>
      <rPr>
        <sz val="9"/>
        <color rgb="FF000000"/>
        <rFont val="Calibri"/>
        <family val="2"/>
        <charset val="1"/>
      </rPr>
      <t xml:space="preserve">:  </t>
    </r>
    <r>
      <rPr>
        <b val="true"/>
        <i val="true"/>
        <sz val="9"/>
        <color rgb="FF000000"/>
        <rFont val="Calibri"/>
        <family val="2"/>
        <charset val="1"/>
      </rPr>
      <t xml:space="preserve">Disciplina na Unidade e Aulas a convite da Unidade</t>
    </r>
    <r>
      <rPr>
        <sz val="9"/>
        <color rgb="FF000000"/>
        <rFont val="Calibri"/>
        <family val="2"/>
        <charset val="1"/>
      </rPr>
      <t xml:space="preserve">: indicar o número de alunos matriculados/inscritos. </t>
    </r>
    <r>
      <rPr>
        <b val="true"/>
        <i val="true"/>
        <sz val="9"/>
        <color rgb="FF000000"/>
        <rFont val="Calibri"/>
        <family val="2"/>
        <charset val="1"/>
      </rPr>
      <t xml:space="preserve">Demais tipos de eventos/cursos</t>
    </r>
    <r>
      <rPr>
        <sz val="9"/>
        <color rgb="FF000000"/>
        <rFont val="Calibri"/>
        <family val="2"/>
        <charset val="1"/>
      </rPr>
      <t xml:space="preserve">: indicar o número de participantes que assinaram  as listas de presença de cursos/eventos.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</si>
  <si>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Data de início</t>
    </r>
    <r>
      <rPr>
        <sz val="9"/>
        <color rgb="FF000000"/>
        <rFont val="Calibri"/>
        <family val="2"/>
        <charset val="1"/>
      </rPr>
      <t xml:space="preserve">: indicar a data inicial da capacitação.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</si>
  <si>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Data de término</t>
    </r>
    <r>
      <rPr>
        <sz val="9"/>
        <color rgb="FF000000"/>
        <rFont val="Calibri"/>
        <family val="2"/>
        <charset val="1"/>
      </rPr>
      <t xml:space="preserve">: indicar a data de término da capacitação.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</si>
  <si>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Período</t>
    </r>
    <r>
      <rPr>
        <sz val="9"/>
        <color rgb="FF000000"/>
        <rFont val="Calibri"/>
        <family val="2"/>
        <charset val="1"/>
      </rPr>
      <t xml:space="preserve">: indicar o período da capacitação. Opções disponíveis: manhã, tarde, noite ou período integral.</t>
    </r>
  </si>
  <si>
    <r>
      <rPr>
        <b val="true"/>
        <u val="single"/>
        <sz val="9"/>
        <color rgb="FF000000"/>
        <rFont val="Calibri"/>
        <family val="2"/>
        <charset val="1"/>
      </rPr>
      <t xml:space="preserve">Ministrante</t>
    </r>
    <r>
      <rPr>
        <sz val="9"/>
        <color rgb="FF000000"/>
        <rFont val="Calibri"/>
        <family val="2"/>
        <charset val="1"/>
      </rPr>
      <t xml:space="preserve">: indicar o nome do responsável pela capacitação.</t>
    </r>
  </si>
  <si>
    <t xml:space="preserve">Ativo em garantia (23906) </t>
  </si>
  <si>
    <t xml:space="preserve">BRKM5 - BRASKEM PNA N1</t>
  </si>
  <si>
    <t xml:space="preserve">CCRO3 - CCR SA ON NM</t>
  </si>
  <si>
    <t xml:space="preserve">GOAU4 - GERDAU MET PN N1</t>
  </si>
  <si>
    <t xml:space="preserve">ITSA4 - ITAUSA PN N1</t>
  </si>
  <si>
    <t xml:space="preserve">ITUB4 - ITAUUNIBANCO PN N1</t>
  </si>
  <si>
    <t xml:space="preserve">PETR4 - PETROBRAS PN N2</t>
  </si>
  <si>
    <t xml:space="preserve">GGBRM50</t>
  </si>
  <si>
    <t xml:space="preserve">GGBRN50</t>
  </si>
  <si>
    <t xml:space="preserve">fator=longa/curta-1</t>
  </si>
  <si>
    <t xml:space="preserve">Vender ggbrm50</t>
  </si>
  <si>
    <t xml:space="preserve">à</t>
  </si>
  <si>
    <t xml:space="preserve">fator arred</t>
  </si>
  <si>
    <t xml:space="preserve">Ações</t>
  </si>
  <si>
    <t xml:space="preserve">Ações p/ Comprar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</si>
</sst>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H:MM:SS"/>
    <numFmt numFmtId="166" formatCode="DD/MM/YY"/>
    <numFmt numFmtId="167" formatCode="[$R$-416]\ #,##0.00;[RED]\-[$R$-416]\ #,##0.00"/>
    <numFmt numFmtId="168" formatCode="0.0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u val="single"/>
      <sz val="9"/>
      <color rgb="FF000000"/>
      <name val="Calibri"/>
      <family val="2"/>
      <charset val="1"/>
    </font>
    <font>
      <u val="single"/>
      <sz val="9"/>
      <color rgb="FF000000"/>
      <name val="Calibri"/>
      <family val="2"/>
      <charset val="1"/>
    </font>
    <font>
      <b val="true"/>
      <i val="true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RowHeight="15" zeroHeight="false" outlineLevelRow="0" outlineLevelCol="0"/>
  <cols>
    <col collapsed="false" customWidth="true" hidden="false" outlineLevel="0" max="1" min="1" style="0" width="13.29"/>
    <col collapsed="false" customWidth="false" hidden="false" outlineLevel="0" max="3" min="2" style="0" width="11.42"/>
    <col collapsed="false" customWidth="true" hidden="false" outlineLevel="0" max="4" min="4" style="0" width="26.13"/>
    <col collapsed="false" customWidth="true" hidden="false" outlineLevel="0" max="5" min="5" style="0" width="10"/>
    <col collapsed="false" customWidth="true" hidden="false" outlineLevel="0" max="6" min="6" style="0" width="11.86"/>
    <col collapsed="false" customWidth="true" hidden="false" outlineLevel="0" max="7" min="7" style="0" width="9.13"/>
    <col collapsed="false" customWidth="true" hidden="false" outlineLevel="0" max="8" min="8" style="0" width="8.14"/>
    <col collapsed="false" customWidth="true" hidden="false" outlineLevel="0" max="9" min="9" style="0" width="7.87"/>
    <col collapsed="false" customWidth="true" hidden="false" outlineLevel="0" max="10" min="10" style="0" width="17.86"/>
    <col collapsed="false" customWidth="true" hidden="false" outlineLevel="0" max="1025" min="11" style="0" width="8.67"/>
  </cols>
  <sheetData>
    <row r="1" customFormat="false" ht="11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2"/>
    </row>
    <row r="3" customFormat="false" ht="13.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2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2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8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13.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8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22.5" hidden="false" customHeight="true" outlineLevel="0" collapsed="false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7" t="s">
        <v>11</v>
      </c>
      <c r="H9" s="7"/>
      <c r="I9" s="7" t="s">
        <v>12</v>
      </c>
      <c r="J9" s="7" t="s">
        <v>13</v>
      </c>
    </row>
    <row r="10" customFormat="false" ht="27" hidden="false" customHeight="true" outlineLevel="0" collapsed="false">
      <c r="A10" s="6"/>
      <c r="B10" s="6"/>
      <c r="C10" s="6"/>
      <c r="D10" s="6"/>
      <c r="E10" s="6"/>
      <c r="F10" s="6"/>
      <c r="G10" s="7" t="s">
        <v>14</v>
      </c>
      <c r="H10" s="7" t="s">
        <v>15</v>
      </c>
      <c r="I10" s="7"/>
      <c r="J10" s="7"/>
    </row>
    <row r="11" customFormat="false" ht="13.8" hidden="false" customHeight="false" outlineLevel="0" collapsed="false">
      <c r="A11" s="8" t="s">
        <v>16</v>
      </c>
      <c r="B11" s="8"/>
      <c r="C11" s="8"/>
      <c r="D11" s="8" t="s">
        <v>17</v>
      </c>
      <c r="E11" s="9" t="n">
        <v>0.0416666666666667</v>
      </c>
      <c r="F11" s="8" t="n">
        <v>30</v>
      </c>
      <c r="G11" s="10" t="n">
        <v>43558</v>
      </c>
      <c r="H11" s="10" t="n">
        <v>43558</v>
      </c>
      <c r="I11" s="8" t="s">
        <v>18</v>
      </c>
      <c r="J11" s="8" t="s">
        <v>19</v>
      </c>
    </row>
    <row r="12" customFormat="false" ht="14.25" hidden="false" customHeight="true" outlineLevel="0" collapsed="false">
      <c r="A12" s="8" t="s">
        <v>16</v>
      </c>
      <c r="B12" s="8"/>
      <c r="C12" s="8"/>
      <c r="D12" s="8" t="s">
        <v>20</v>
      </c>
      <c r="E12" s="9" t="n">
        <v>0.125</v>
      </c>
      <c r="F12" s="8" t="n">
        <v>1</v>
      </c>
      <c r="G12" s="10" t="n">
        <v>43735</v>
      </c>
      <c r="H12" s="10" t="n">
        <v>43735</v>
      </c>
      <c r="I12" s="8" t="s">
        <v>21</v>
      </c>
      <c r="J12" s="8" t="s">
        <v>19</v>
      </c>
    </row>
    <row r="13" customFormat="false" ht="14.25" hidden="false" customHeight="true" outlineLevel="0" collapsed="false">
      <c r="A13" s="8" t="s">
        <v>16</v>
      </c>
      <c r="B13" s="8"/>
      <c r="C13" s="8"/>
      <c r="D13" s="8" t="s">
        <v>20</v>
      </c>
      <c r="E13" s="9" t="n">
        <v>0.104166666666667</v>
      </c>
      <c r="F13" s="8" t="n">
        <v>3</v>
      </c>
      <c r="G13" s="10" t="n">
        <v>43726</v>
      </c>
      <c r="H13" s="10" t="n">
        <v>43726</v>
      </c>
      <c r="I13" s="8" t="s">
        <v>18</v>
      </c>
      <c r="J13" s="8" t="s">
        <v>19</v>
      </c>
    </row>
    <row r="14" customFormat="false" ht="14.25" hidden="false" customHeight="true" outlineLevel="0" collapsed="false">
      <c r="A14" s="8" t="s">
        <v>16</v>
      </c>
      <c r="B14" s="8"/>
      <c r="C14" s="8"/>
      <c r="D14" s="8" t="s">
        <v>22</v>
      </c>
      <c r="E14" s="9" t="n">
        <v>0.104166666666667</v>
      </c>
      <c r="F14" s="8" t="n">
        <v>1</v>
      </c>
      <c r="G14" s="10" t="n">
        <v>43557</v>
      </c>
      <c r="H14" s="10" t="n">
        <v>43557</v>
      </c>
      <c r="I14" s="8" t="s">
        <v>18</v>
      </c>
      <c r="J14" s="8" t="s">
        <v>19</v>
      </c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6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4" t="s">
        <v>23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="13" customFormat="true" ht="42.75" hidden="false" customHeight="true" outlineLevel="0" collapsed="false">
      <c r="A21" s="12" t="s">
        <v>24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28.25" hidden="false" customHeight="true" outlineLevel="0" collapsed="false">
      <c r="A22" s="14" t="s">
        <v>25</v>
      </c>
      <c r="B22" s="14"/>
      <c r="C22" s="14"/>
      <c r="D22" s="14"/>
      <c r="E22" s="14"/>
      <c r="F22" s="14"/>
      <c r="G22" s="14"/>
      <c r="H22" s="14"/>
      <c r="I22" s="14"/>
      <c r="J22" s="14"/>
    </row>
    <row r="23" s="13" customFormat="true" ht="17.25" hidden="false" customHeight="true" outlineLevel="0" collapsed="false">
      <c r="A23" s="15" t="s">
        <v>26</v>
      </c>
      <c r="B23" s="15"/>
      <c r="C23" s="15"/>
      <c r="D23" s="15"/>
      <c r="E23" s="15"/>
      <c r="F23" s="15"/>
      <c r="G23" s="15"/>
      <c r="H23" s="15"/>
      <c r="I23" s="15"/>
      <c r="J23" s="15"/>
    </row>
    <row r="24" s="13" customFormat="true" ht="16.5" hidden="false" customHeight="true" outlineLevel="0" collapsed="false">
      <c r="A24" s="15" t="s">
        <v>27</v>
      </c>
      <c r="B24" s="15"/>
      <c r="C24" s="15"/>
      <c r="D24" s="15"/>
      <c r="E24" s="15"/>
      <c r="F24" s="15"/>
      <c r="G24" s="15"/>
      <c r="H24" s="15"/>
      <c r="I24" s="15"/>
      <c r="J24" s="15"/>
    </row>
    <row r="25" customFormat="false" ht="30.75" hidden="false" customHeight="true" outlineLevel="0" collapsed="false">
      <c r="A25" s="16" t="s">
        <v>28</v>
      </c>
      <c r="B25" s="16"/>
      <c r="C25" s="16"/>
      <c r="D25" s="16"/>
      <c r="E25" s="16"/>
      <c r="F25" s="16"/>
      <c r="G25" s="16"/>
      <c r="H25" s="16"/>
      <c r="I25" s="16"/>
      <c r="J25" s="16"/>
    </row>
    <row r="26" s="13" customFormat="true" ht="17.25" hidden="false" customHeight="true" outlineLevel="0" collapsed="false">
      <c r="A26" s="15" t="s">
        <v>29</v>
      </c>
      <c r="B26" s="15"/>
      <c r="C26" s="15"/>
      <c r="D26" s="15"/>
      <c r="E26" s="15"/>
      <c r="F26" s="15"/>
      <c r="G26" s="15"/>
      <c r="H26" s="15"/>
      <c r="I26" s="15"/>
      <c r="J26" s="15"/>
    </row>
    <row r="27" s="13" customFormat="true" ht="19.5" hidden="false" customHeight="true" outlineLevel="0" collapsed="false">
      <c r="A27" s="15" t="s">
        <v>30</v>
      </c>
      <c r="B27" s="15"/>
      <c r="C27" s="15"/>
      <c r="D27" s="15"/>
      <c r="E27" s="15"/>
      <c r="F27" s="15"/>
      <c r="G27" s="15"/>
      <c r="H27" s="15"/>
      <c r="I27" s="15"/>
      <c r="J27" s="15"/>
    </row>
    <row r="28" s="13" customFormat="true" ht="18" hidden="false" customHeight="true" outlineLevel="0" collapsed="false">
      <c r="A28" s="15" t="s">
        <v>31</v>
      </c>
      <c r="B28" s="15"/>
      <c r="C28" s="15"/>
      <c r="D28" s="15"/>
      <c r="E28" s="15"/>
      <c r="F28" s="15"/>
      <c r="G28" s="15"/>
      <c r="H28" s="15"/>
      <c r="I28" s="15"/>
      <c r="J28" s="15"/>
    </row>
    <row r="29" s="13" customFormat="true" ht="18.75" hidden="false" customHeight="true" outlineLevel="0" collapsed="false">
      <c r="A29" s="15" t="s">
        <v>32</v>
      </c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29">
    <mergeCell ref="A1:J1"/>
    <mergeCell ref="A2:J2"/>
    <mergeCell ref="A3:J3"/>
    <mergeCell ref="A4:J4"/>
    <mergeCell ref="A5:J5"/>
    <mergeCell ref="A6:J6"/>
    <mergeCell ref="A7:J7"/>
    <mergeCell ref="A8:J8"/>
    <mergeCell ref="A9:A10"/>
    <mergeCell ref="B9:B10"/>
    <mergeCell ref="C9:C10"/>
    <mergeCell ref="D9:D10"/>
    <mergeCell ref="E9:E10"/>
    <mergeCell ref="F9:F10"/>
    <mergeCell ref="G9:H9"/>
    <mergeCell ref="I9:I10"/>
    <mergeCell ref="J9:J10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8:J28"/>
    <mergeCell ref="A29:J29"/>
  </mergeCells>
  <printOptions headings="false" gridLines="false" gridLinesSet="true" horizontalCentered="false" verticalCentered="false"/>
  <pageMargins left="0.118055555555556" right="0.118055555555556" top="0.196527777777778" bottom="0.196527777777778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C2" colorId="64" zoomScale="100" zoomScaleNormal="100" zoomScalePageLayoutView="100" workbookViewId="0">
      <selection pane="topLeft" activeCell="D18" activeCellId="0" sqref="D18"/>
    </sheetView>
  </sheetViews>
  <sheetFormatPr defaultRowHeight="13.8" zeroHeight="false" outlineLevelRow="0" outlineLevelCol="0"/>
  <cols>
    <col collapsed="false" customWidth="false" hidden="false" outlineLevel="0" max="1" min="1" style="17" width="11.52"/>
    <col collapsed="false" customWidth="true" hidden="false" outlineLevel="0" max="2" min="2" style="17" width="25.56"/>
    <col collapsed="false" customWidth="true" hidden="false" outlineLevel="0" max="5" min="3" style="0" width="8.67"/>
    <col collapsed="false" customWidth="true" hidden="false" outlineLevel="0" max="6" min="6" style="0" width="19.58"/>
    <col collapsed="false" customWidth="true" hidden="false" outlineLevel="0" max="1025" min="7" style="0" width="8.67"/>
  </cols>
  <sheetData>
    <row r="1" customFormat="false" ht="35.05" hidden="false" customHeight="false" outlineLevel="0" collapsed="false">
      <c r="A1" s="17" t="s">
        <v>33</v>
      </c>
      <c r="B1" s="17" t="s">
        <v>34</v>
      </c>
      <c r="C1" s="0" t="n">
        <v>200</v>
      </c>
      <c r="D1" s="0" t="n">
        <v>0</v>
      </c>
      <c r="E1" s="0" t="n">
        <v>34.7</v>
      </c>
      <c r="F1" s="18" t="n">
        <f aca="false">E1*C1</f>
        <v>6940</v>
      </c>
      <c r="G1" s="19" t="n">
        <v>0.024</v>
      </c>
    </row>
    <row r="2" customFormat="false" ht="35.05" hidden="false" customHeight="false" outlineLevel="0" collapsed="false">
      <c r="A2" s="17" t="s">
        <v>33</v>
      </c>
      <c r="B2" s="17" t="s">
        <v>35</v>
      </c>
      <c r="C2" s="0" t="n">
        <v>100</v>
      </c>
      <c r="D2" s="0" t="n">
        <v>0</v>
      </c>
      <c r="E2" s="0" t="n">
        <v>18.53</v>
      </c>
      <c r="F2" s="18" t="n">
        <f aca="false">E2*C2</f>
        <v>1853</v>
      </c>
      <c r="G2" s="19" t="n">
        <v>0.006</v>
      </c>
    </row>
    <row r="3" customFormat="false" ht="35.05" hidden="false" customHeight="false" outlineLevel="0" collapsed="false">
      <c r="A3" s="17" t="s">
        <v>33</v>
      </c>
      <c r="B3" s="17" t="s">
        <v>36</v>
      </c>
      <c r="C3" s="0" t="n">
        <v>200</v>
      </c>
      <c r="D3" s="0" t="n">
        <v>0</v>
      </c>
      <c r="E3" s="0" t="n">
        <v>10.36</v>
      </c>
      <c r="F3" s="18" t="n">
        <f aca="false">E3*C3</f>
        <v>2072</v>
      </c>
      <c r="G3" s="19" t="n">
        <v>0.007</v>
      </c>
    </row>
    <row r="4" customFormat="false" ht="35.05" hidden="false" customHeight="false" outlineLevel="0" collapsed="false">
      <c r="A4" s="17" t="s">
        <v>33</v>
      </c>
      <c r="B4" s="17" t="s">
        <v>37</v>
      </c>
      <c r="C4" s="0" t="n">
        <v>110</v>
      </c>
      <c r="D4" s="0" t="n">
        <v>0</v>
      </c>
      <c r="E4" s="0" t="n">
        <v>13.46</v>
      </c>
      <c r="F4" s="18" t="n">
        <f aca="false">E4*C4</f>
        <v>1480.6</v>
      </c>
      <c r="G4" s="19" t="n">
        <v>0.005</v>
      </c>
    </row>
    <row r="5" customFormat="false" ht="35.05" hidden="false" customHeight="false" outlineLevel="0" collapsed="false">
      <c r="A5" s="17" t="s">
        <v>33</v>
      </c>
      <c r="B5" s="17" t="s">
        <v>38</v>
      </c>
      <c r="C5" s="0" t="n">
        <v>1050</v>
      </c>
      <c r="D5" s="0" t="n">
        <v>0</v>
      </c>
      <c r="E5" s="0" t="n">
        <v>34.84</v>
      </c>
      <c r="F5" s="18" t="n">
        <f aca="false">E5*C5</f>
        <v>36582</v>
      </c>
      <c r="G5" s="19" t="n">
        <v>0.128</v>
      </c>
    </row>
    <row r="6" customFormat="false" ht="35.05" hidden="false" customHeight="false" outlineLevel="0" collapsed="false">
      <c r="A6" s="17" t="s">
        <v>33</v>
      </c>
      <c r="B6" s="17" t="s">
        <v>39</v>
      </c>
      <c r="C6" s="0" t="n">
        <v>7700</v>
      </c>
      <c r="D6" s="0" t="n">
        <v>0</v>
      </c>
      <c r="E6" s="0" t="n">
        <v>30.07</v>
      </c>
      <c r="F6" s="18" t="n">
        <f aca="false">E6*C6</f>
        <v>231539</v>
      </c>
      <c r="G6" s="19" t="n">
        <v>0.809</v>
      </c>
    </row>
    <row r="8" customFormat="false" ht="13.8" hidden="false" customHeight="false" outlineLevel="0" collapsed="false">
      <c r="F8" s="18" t="n">
        <f aca="false">SUM(F1:F4,)</f>
        <v>12345.6</v>
      </c>
    </row>
    <row r="10" customFormat="false" ht="13.8" hidden="false" customHeight="false" outlineLevel="0" collapsed="false">
      <c r="B10" s="17" t="s">
        <v>40</v>
      </c>
      <c r="C10" s="0" t="n">
        <v>0.13</v>
      </c>
      <c r="D10" s="0" t="n">
        <f aca="false">-1*(B15+B17+200)</f>
        <v>-40200</v>
      </c>
      <c r="E10" s="0" t="n">
        <f aca="false">D10*C10</f>
        <v>-5226</v>
      </c>
    </row>
    <row r="11" customFormat="false" ht="13.8" hidden="false" customHeight="false" outlineLevel="0" collapsed="false">
      <c r="B11" s="17" t="s">
        <v>41</v>
      </c>
      <c r="C11" s="0" t="n">
        <v>0.52</v>
      </c>
      <c r="D11" s="0" t="n">
        <f aca="false">B17</f>
        <v>10000</v>
      </c>
      <c r="E11" s="0" t="n">
        <f aca="false">D11*C11</f>
        <v>5200</v>
      </c>
    </row>
    <row r="12" customFormat="false" ht="13.8" hidden="false" customHeight="false" outlineLevel="0" collapsed="false">
      <c r="E12" s="0" t="n">
        <f aca="false">SUM(E10:E11)</f>
        <v>-26</v>
      </c>
    </row>
    <row r="13" customFormat="false" ht="23.85" hidden="false" customHeight="false" outlineLevel="0" collapsed="false">
      <c r="A13" s="17" t="s">
        <v>42</v>
      </c>
      <c r="B13" s="17" t="n">
        <f aca="false">C11/C10-1</f>
        <v>3</v>
      </c>
      <c r="C13" s="0" t="s">
        <v>43</v>
      </c>
      <c r="D13" s="0" t="n">
        <f aca="false">D10</f>
        <v>-40200</v>
      </c>
      <c r="E13" s="0" t="s">
        <v>44</v>
      </c>
      <c r="F13" s="18" t="n">
        <f aca="false">C10</f>
        <v>0.13</v>
      </c>
    </row>
    <row r="14" customFormat="false" ht="13.8" hidden="false" customHeight="false" outlineLevel="0" collapsed="false">
      <c r="A14" s="17" t="s">
        <v>45</v>
      </c>
      <c r="B14" s="17" t="n">
        <f aca="false">ROUND(B13,2)</f>
        <v>3</v>
      </c>
    </row>
    <row r="15" customFormat="false" ht="13.8" hidden="false" customHeight="false" outlineLevel="0" collapsed="false">
      <c r="A15" s="17" t="s">
        <v>46</v>
      </c>
      <c r="B15" s="17" t="n">
        <v>30000</v>
      </c>
    </row>
    <row r="16" customFormat="false" ht="13.8" hidden="false" customHeight="false" outlineLevel="0" collapsed="false">
      <c r="D16" s="0" t="n">
        <f aca="false">C10</f>
        <v>0.13</v>
      </c>
      <c r="E16" s="0" t="n">
        <v>1</v>
      </c>
      <c r="F16" s="0" t="n">
        <f aca="false">E16*D16</f>
        <v>0.13</v>
      </c>
    </row>
    <row r="17" customFormat="false" ht="23.85" hidden="false" customHeight="false" outlineLevel="0" collapsed="false">
      <c r="A17" s="17" t="s">
        <v>47</v>
      </c>
      <c r="B17" s="17" t="n">
        <f aca="false">ROUND(B15/B14,-2)</f>
        <v>10000</v>
      </c>
      <c r="D17" s="0" t="n">
        <v>0.53</v>
      </c>
      <c r="E17" s="0" t="n">
        <f aca="false">10000</f>
        <v>10000</v>
      </c>
      <c r="F17" s="0" t="n">
        <f aca="false">E17*D17</f>
        <v>5300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LibreOffice/5.4.4.2$Windows_X86_64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  <dc:description/>
  <dc:language>pt-BR</dc:language>
  <cp:lastModifiedBy/>
  <cp:lastPrinted>2019-10-14T13:51:59Z</cp:lastPrinted>
  <dcterms:modified xsi:type="dcterms:W3CDTF">2020-01-16T08:08:35Z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