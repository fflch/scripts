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0730" windowHeight="9270"/>
  </bookViews>
  <sheets>
    <sheet name="CAPACITACAO" sheetId="1" r:id="rId1"/>
  </sheets>
  <externalReferences>
    <externalReference r:id="rId2"/>
  </externalReferences>
  <definedNames>
    <definedName name="_xlnm.Print_Area" localSheetId="0">'[1]TREINAMENTOS MINISTRADOS'!$B$7:$M$19</definedName>
  </definedNames>
  <calcPr calcId="145621"/>
</workbook>
</file>

<file path=xl/calcChain.xml><?xml version="1.0" encoding="utf-8"?>
<calcChain xmlns="http://schemas.openxmlformats.org/spreadsheetml/2006/main">
  <c r="F51" i="1" l="1"/>
</calcChain>
</file>

<file path=xl/sharedStrings.xml><?xml version="1.0" encoding="utf-8"?>
<sst xmlns="http://schemas.openxmlformats.org/spreadsheetml/2006/main" count="197" uniqueCount="78">
  <si>
    <t>Universidade de São Paulo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</si>
  <si>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</si>
  <si>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</si>
  <si>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</si>
  <si>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</si>
  <si>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</si>
  <si>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</si>
  <si>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</si>
  <si>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</si>
  <si>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</si>
  <si>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</si>
  <si>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</si>
  <si>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</si>
  <si>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t>Nº de participantes / alunos matriculados</t>
  </si>
  <si>
    <t>Agência USP de Gestão da Informação Acadêmica</t>
  </si>
  <si>
    <t>Biblioteca/Unidade: ______FMUSP_________________</t>
  </si>
  <si>
    <t>Visita orientada</t>
  </si>
  <si>
    <t>Visita de alunos do Workshop de Doenças Infecciosas e Parasitárias</t>
  </si>
  <si>
    <t>manhã</t>
  </si>
  <si>
    <t>Isabel</t>
  </si>
  <si>
    <t>Visita Escola Técnica Grau</t>
  </si>
  <si>
    <t>noite</t>
  </si>
  <si>
    <t>Treinamento</t>
  </si>
  <si>
    <t>Base de Dados</t>
  </si>
  <si>
    <t>Valéria</t>
  </si>
  <si>
    <t xml:space="preserve">Visita </t>
  </si>
  <si>
    <t>Marinalva</t>
  </si>
  <si>
    <t>Web of Science</t>
  </si>
  <si>
    <t>Deborah Dias</t>
  </si>
  <si>
    <t>aula a convite da unidade</t>
  </si>
  <si>
    <t>LIMs - estrutura e funcionamento do Serviço de Biblioteca da FMUSP</t>
  </si>
  <si>
    <t>tarde</t>
  </si>
  <si>
    <t>Web of Science e EndNote</t>
  </si>
  <si>
    <t>Base de Dados - Fisioterapia</t>
  </si>
  <si>
    <t>Introduçao as Normas do Trabalho Científico</t>
  </si>
  <si>
    <t>Base de Dados - Fonoaudiologia</t>
  </si>
  <si>
    <t>Webinar</t>
  </si>
  <si>
    <t>Web of Science e Endnote</t>
  </si>
  <si>
    <t>Webinar Pesquisando terapias para o COVID-19 no Integrity</t>
  </si>
  <si>
    <t>Sérgio Delarcina</t>
  </si>
  <si>
    <t>MAM 5728</t>
  </si>
  <si>
    <t>Bases metodológicas da Pesquisa Científica - Produtos e serviços Biblioteca. Bases de Dados. Mapa conceitual</t>
  </si>
  <si>
    <t>Valéria/Erinalva</t>
  </si>
  <si>
    <t>Bases metodológicas da Pesquisa Científica - Identificadores do Pesuisador - Orcid, Publons, Scopus e GoogleID</t>
  </si>
  <si>
    <t>Erinalva</t>
  </si>
  <si>
    <t>MAM 5760-1</t>
  </si>
  <si>
    <t>Medicina Baseada em Evidências para Novas Tecnologias Utilizadas no Período Perioperatório (mestrado Profissionalizante)</t>
  </si>
  <si>
    <t>Eidi</t>
  </si>
  <si>
    <t xml:space="preserve">MGT5770 </t>
  </si>
  <si>
    <t>Análise Crítica e Acompanhamento de Projetos de Pesquisa</t>
  </si>
  <si>
    <t>Prof. Eduado Troster e Dra. Isadora S. Rodrigues</t>
  </si>
  <si>
    <t>Treinamento Residentes ICR</t>
  </si>
  <si>
    <t>Encontro</t>
  </si>
  <si>
    <t>I Encontro de Apoio à Produção Científica - EndNote</t>
  </si>
  <si>
    <t>Valéria/Erinalva/Isabel</t>
  </si>
  <si>
    <t>I Encontro de Apoio à Produção Científica - Mendeley</t>
  </si>
  <si>
    <t>I Encontro de Apoio à Produção Científica - Formatação</t>
  </si>
  <si>
    <t>MIP5722</t>
  </si>
  <si>
    <t>Pesquisa Bibliográfica Automatizada em Base de Dados de Medicina Clínica e Especializada em Doenças Infecciosas e parasitárias</t>
  </si>
  <si>
    <t>MIP5723</t>
  </si>
  <si>
    <t>MIP5724</t>
  </si>
  <si>
    <t>MIP5725</t>
  </si>
  <si>
    <t>MIP5726</t>
  </si>
  <si>
    <t>MIP5727</t>
  </si>
  <si>
    <t>MIP5728</t>
  </si>
  <si>
    <t>MIP5729</t>
  </si>
  <si>
    <t>MIP5730</t>
  </si>
  <si>
    <t>Profa. Claudia Lopes Carvalho - Mendeley</t>
  </si>
  <si>
    <t>Profa. Claudia Lopes Carvalho - EndNote</t>
  </si>
  <si>
    <t>Revista de Medicina e submissão no Portal</t>
  </si>
  <si>
    <t>Suely</t>
  </si>
  <si>
    <t>Disciplina optativa de escrita científica da Revista de Medicina</t>
  </si>
  <si>
    <t>MUR5717</t>
  </si>
  <si>
    <t>Pesquisa Bibliográfica</t>
  </si>
  <si>
    <t>Prof. Renerio Fraguas</t>
  </si>
  <si>
    <t>Base de Dados Disc. Escrita Científica</t>
  </si>
  <si>
    <t>Profa. Carmona</t>
  </si>
  <si>
    <t>Dicas 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</si>
</sst>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:ss;@"/>
    <numFmt numFmtId="165" formatCode="[$-F400]h:mm:ss\ AM/PM"/>
  </numFmts>
  <fonts count="7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3C4043"/>
      <name val="Calibri"/>
      <family val="2"/>
      <scheme val="minor"/>
    </font>
    <font>
      <sz val="10"/>
      <color theme="1"/>
      <name val="Calibriu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21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14" fontId="3" fillId="0" borderId="4" xfId="0" applyNumberFormat="1" applyFont="1" applyBorder="1" applyAlignment="1" applyProtection="1">
      <alignment horizontal="center" vertical="center" wrapText="1"/>
      <protection locked="0"/>
    </xf>
    <xf numFmtId="49" fontId="3" fillId="0" borderId="1" xfId="0" applyNumberFormat="1" applyFont="1" applyBorder="1" applyAlignment="1" applyProtection="1">
      <alignment horizontal="center" vertical="center" wrapText="1"/>
    </xf>
    <xf numFmtId="49" fontId="3" fillId="0" borderId="3" xfId="0" applyNumberFormat="1" applyFont="1" applyBorder="1" applyAlignment="1" applyProtection="1">
      <alignment horizontal="center" vertical="center" wrapText="1"/>
    </xf>
    <xf numFmtId="164" fontId="3" fillId="0" borderId="1" xfId="0" applyNumberFormat="1" applyFont="1" applyBorder="1" applyAlignment="1" applyProtection="1">
      <alignment horizontal="left" vertical="center" wrapText="1"/>
    </xf>
    <xf numFmtId="165" fontId="3" fillId="0" borderId="1" xfId="0" applyNumberFormat="1" applyFont="1" applyBorder="1" applyAlignment="1" applyProtection="1">
      <alignment horizontal="center" vertical="center" wrapText="1"/>
    </xf>
    <xf numFmtId="1" fontId="3" fillId="0" borderId="1" xfId="0" applyNumberFormat="1" applyFont="1" applyBorder="1" applyAlignment="1" applyProtection="1">
      <alignment horizontal="center" vertical="center" wrapText="1"/>
    </xf>
    <xf numFmtId="14" fontId="3" fillId="0" borderId="1" xfId="0" applyNumberFormat="1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vertical="center" wrapText="1"/>
    </xf>
    <xf numFmtId="0" fontId="3" fillId="0" borderId="0" xfId="0" applyFont="1" applyAlignment="1" applyProtection="1">
      <alignment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49" fontId="3" fillId="0" borderId="4" xfId="0" applyNumberFormat="1" applyFont="1" applyBorder="1" applyAlignment="1" applyProtection="1">
      <alignment horizontal="center" vertical="center" wrapText="1"/>
    </xf>
    <xf numFmtId="165" fontId="3" fillId="0" borderId="4" xfId="0" applyNumberFormat="1" applyFont="1" applyBorder="1" applyAlignment="1" applyProtection="1">
      <alignment horizontal="center" vertical="center" wrapText="1"/>
    </xf>
    <xf numFmtId="1" fontId="3" fillId="0" borderId="4" xfId="0" applyNumberFormat="1" applyFont="1" applyBorder="1" applyAlignment="1" applyProtection="1">
      <alignment horizontal="center" vertical="center" wrapText="1"/>
    </xf>
    <xf numFmtId="14" fontId="3" fillId="0" borderId="4" xfId="0" applyNumberFormat="1" applyFont="1" applyBorder="1" applyAlignment="1" applyProtection="1">
      <alignment horizontal="center" vertical="center" wrapText="1"/>
    </xf>
    <xf numFmtId="49" fontId="1" fillId="0" borderId="1" xfId="0" applyNumberFormat="1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wrapText="1"/>
    </xf>
    <xf numFmtId="165" fontId="1" fillId="0" borderId="1" xfId="0" applyNumberFormat="1" applyFont="1" applyBorder="1" applyAlignment="1" applyProtection="1">
      <alignment horizontal="center" vertical="center" wrapText="1"/>
    </xf>
    <xf numFmtId="1" fontId="1" fillId="0" borderId="1" xfId="0" applyNumberFormat="1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>
      <alignment horizontal="center" wrapText="1"/>
    </xf>
    <xf numFmtId="0" fontId="6" fillId="0" borderId="4" xfId="0" applyFont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left" vertical="center" wrapText="1"/>
    </xf>
    <xf numFmtId="165" fontId="6" fillId="0" borderId="1" xfId="0" applyNumberFormat="1" applyFont="1" applyBorder="1" applyAlignment="1" applyProtection="1">
      <alignment horizontal="center" vertical="center" wrapText="1"/>
    </xf>
    <xf numFmtId="14" fontId="6" fillId="0" borderId="4" xfId="0" applyNumberFormat="1" applyFont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horizontal="center" wrapText="1"/>
    </xf>
    <xf numFmtId="0" fontId="3" fillId="0" borderId="8" xfId="0" applyFont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horizontal="left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14" fontId="3" fillId="0" borderId="9" xfId="0" applyNumberFormat="1" applyFont="1" applyBorder="1" applyAlignment="1" applyProtection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PD_Estatistica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INAMENTOS MINISTRADOS"/>
      <sheetName val="Treinamentos de funcionários"/>
      <sheetName val="SEGUIDORES"/>
      <sheetName val="BLOG_PUBLICACOES"/>
      <sheetName val="FACEBOOK"/>
      <sheetName val="TWITTER"/>
      <sheetName val="LilacsEduca"/>
      <sheetName val="BVS-OPI"/>
      <sheetName val="pc-opi"/>
      <sheetName val="gráficos_spd"/>
      <sheetName val="E-books"/>
      <sheetName val="Instagram"/>
      <sheetName val="Key"/>
      <sheetName val="RIBi"/>
    </sheetNames>
    <sheetDataSet>
      <sheetData sheetId="0">
        <row r="7">
          <cell r="B7" t="str">
            <v>Tipo de Capacitação</v>
          </cell>
          <cell r="C7" t="str">
            <v>Especificar o tipo "outros"</v>
          </cell>
          <cell r="D7" t="str">
            <v>Sigla da disciplina</v>
          </cell>
          <cell r="E7" t="str">
            <v>Nome</v>
          </cell>
          <cell r="F7" t="str">
            <v>Carga Horária</v>
          </cell>
          <cell r="G7" t="str">
            <v>Número de alunos matriculados/inscritos</v>
          </cell>
          <cell r="H7" t="str">
            <v xml:space="preserve">Data </v>
          </cell>
          <cell r="I7"/>
          <cell r="J7" t="str">
            <v>Período</v>
          </cell>
          <cell r="K7" t="str">
            <v>Ministrante</v>
          </cell>
          <cell r="L7" t="str">
            <v>Apresenta informações</v>
          </cell>
          <cell r="M7"/>
        </row>
        <row r="8">
          <cell r="B8"/>
          <cell r="C8"/>
          <cell r="D8"/>
          <cell r="E8"/>
          <cell r="F8"/>
          <cell r="G8"/>
          <cell r="H8" t="str">
            <v>Início</v>
          </cell>
          <cell r="I8" t="str">
            <v>Término</v>
          </cell>
          <cell r="J8"/>
          <cell r="K8"/>
          <cell r="L8" t="str">
            <v>DEDALUS</v>
          </cell>
          <cell r="M8" t="str">
            <v>SIBiNet</v>
          </cell>
        </row>
        <row r="9">
          <cell r="B9" t="str">
            <v>Visita orientada</v>
          </cell>
          <cell r="C9"/>
          <cell r="D9"/>
          <cell r="E9" t="str">
            <v>Visita de alunos do Workshop de Doenças Infecciosas e Parasitárias</v>
          </cell>
          <cell r="F9">
            <v>1.0416666666666666E-2</v>
          </cell>
          <cell r="G9">
            <v>15</v>
          </cell>
          <cell r="H9">
            <v>43859</v>
          </cell>
          <cell r="I9">
            <v>43859</v>
          </cell>
          <cell r="J9" t="str">
            <v>manhã</v>
          </cell>
          <cell r="K9" t="str">
            <v>Isabel</v>
          </cell>
          <cell r="L9"/>
          <cell r="M9"/>
        </row>
        <row r="10">
          <cell r="B10" t="str">
            <v>Visita orientada</v>
          </cell>
          <cell r="C10"/>
          <cell r="D10"/>
          <cell r="E10" t="str">
            <v>Visita Escola Técnica Grau</v>
          </cell>
          <cell r="F10">
            <v>3.125E-2</v>
          </cell>
          <cell r="G10">
            <v>20</v>
          </cell>
          <cell r="H10">
            <v>43882</v>
          </cell>
          <cell r="I10">
            <v>43882</v>
          </cell>
          <cell r="J10" t="str">
            <v>noite</v>
          </cell>
          <cell r="K10" t="str">
            <v>Isabel</v>
          </cell>
          <cell r="L10"/>
          <cell r="M10"/>
        </row>
        <row r="11">
          <cell r="B11" t="str">
            <v>Treinamento</v>
          </cell>
          <cell r="C11"/>
          <cell r="D11"/>
          <cell r="E11" t="str">
            <v>Base de Dados</v>
          </cell>
          <cell r="F11">
            <v>0.14583333333333334</v>
          </cell>
          <cell r="G11">
            <v>42</v>
          </cell>
          <cell r="H11">
            <v>43873</v>
          </cell>
          <cell r="I11">
            <v>43873</v>
          </cell>
          <cell r="J11" t="str">
            <v>manhã</v>
          </cell>
          <cell r="K11" t="str">
            <v>Valéria</v>
          </cell>
          <cell r="L11" t="str">
            <v>x</v>
          </cell>
          <cell r="M11" t="str">
            <v>x</v>
          </cell>
        </row>
        <row r="12">
          <cell r="B12" t="str">
            <v>Visita orientada</v>
          </cell>
          <cell r="C12"/>
          <cell r="D12"/>
          <cell r="E12" t="str">
            <v xml:space="preserve">Visita </v>
          </cell>
          <cell r="F12">
            <v>2.0833333333333332E-2</v>
          </cell>
          <cell r="G12">
            <v>3</v>
          </cell>
          <cell r="H12">
            <v>43888</v>
          </cell>
          <cell r="I12">
            <v>43888</v>
          </cell>
          <cell r="J12" t="str">
            <v>manhã</v>
          </cell>
          <cell r="K12" t="str">
            <v>Marinalva</v>
          </cell>
          <cell r="L12"/>
          <cell r="M12"/>
        </row>
        <row r="13">
          <cell r="B13" t="str">
            <v>Treinamento</v>
          </cell>
          <cell r="C13"/>
          <cell r="D13"/>
          <cell r="E13" t="str">
            <v>Web of Science</v>
          </cell>
          <cell r="F13">
            <v>0.16666666666666666</v>
          </cell>
          <cell r="G13">
            <v>40</v>
          </cell>
          <cell r="H13">
            <v>43892</v>
          </cell>
          <cell r="I13">
            <v>43892</v>
          </cell>
          <cell r="J13" t="str">
            <v>manhã</v>
          </cell>
          <cell r="K13" t="str">
            <v>Deborah Dias</v>
          </cell>
          <cell r="L13"/>
          <cell r="M13"/>
        </row>
        <row r="14">
          <cell r="B14" t="str">
            <v>aula a convite da unidade</v>
          </cell>
          <cell r="C14"/>
          <cell r="D14"/>
          <cell r="E14" t="str">
            <v>LIMs - estrutura e funcionamento do Serviço de Biblioteca da FMUSP</v>
          </cell>
          <cell r="F14">
            <v>6.25E-2</v>
          </cell>
          <cell r="G14">
            <v>26</v>
          </cell>
          <cell r="H14">
            <v>43893</v>
          </cell>
          <cell r="I14">
            <v>43893</v>
          </cell>
          <cell r="J14" t="str">
            <v>tarde</v>
          </cell>
          <cell r="K14" t="str">
            <v>Valéria</v>
          </cell>
          <cell r="L14" t="str">
            <v>x</v>
          </cell>
          <cell r="M14" t="str">
            <v>x</v>
          </cell>
        </row>
        <row r="15">
          <cell r="B15" t="str">
            <v>Treinamento</v>
          </cell>
          <cell r="C15"/>
          <cell r="D15"/>
          <cell r="E15" t="str">
            <v>Web of Science e EndNote</v>
          </cell>
          <cell r="F15">
            <v>0.14583333333333334</v>
          </cell>
          <cell r="G15">
            <v>40</v>
          </cell>
          <cell r="H15">
            <v>43892</v>
          </cell>
          <cell r="I15">
            <v>43892</v>
          </cell>
          <cell r="J15" t="str">
            <v>manhã</v>
          </cell>
          <cell r="K15" t="str">
            <v>Deborah Dias</v>
          </cell>
          <cell r="L15"/>
          <cell r="M15"/>
        </row>
        <row r="16">
          <cell r="B16" t="str">
            <v>aula a convite da unidade</v>
          </cell>
          <cell r="C16"/>
          <cell r="D16"/>
          <cell r="E16" t="str">
            <v>Base de Dados - Fisioterapia</v>
          </cell>
          <cell r="F16">
            <v>0.125</v>
          </cell>
          <cell r="G16">
            <v>25</v>
          </cell>
          <cell r="H16">
            <v>43902</v>
          </cell>
          <cell r="I16">
            <v>43902</v>
          </cell>
          <cell r="J16" t="str">
            <v>tarde</v>
          </cell>
          <cell r="K16" t="str">
            <v>Valéria</v>
          </cell>
          <cell r="L16" t="str">
            <v>x</v>
          </cell>
          <cell r="M16" t="str">
            <v>x</v>
          </cell>
        </row>
        <row r="17">
          <cell r="B17" t="str">
            <v>aula a convite da unidade</v>
          </cell>
          <cell r="C17"/>
          <cell r="D17"/>
          <cell r="E17" t="str">
            <v>Introduçao as Normas do Trabalho Científico</v>
          </cell>
          <cell r="F17">
            <v>0.125</v>
          </cell>
          <cell r="G17">
            <v>25</v>
          </cell>
          <cell r="H17">
            <v>43903</v>
          </cell>
          <cell r="I17">
            <v>43903</v>
          </cell>
          <cell r="J17" t="str">
            <v>tarde</v>
          </cell>
          <cell r="K17" t="str">
            <v>Valéria</v>
          </cell>
          <cell r="L17"/>
          <cell r="M17"/>
        </row>
        <row r="18">
          <cell r="B18" t="str">
            <v>aula a convite da unidade</v>
          </cell>
          <cell r="C18"/>
          <cell r="D18"/>
          <cell r="E18" t="str">
            <v>Base de Dados - Fonoaudiologia</v>
          </cell>
          <cell r="F18">
            <v>0.125</v>
          </cell>
          <cell r="G18">
            <v>25</v>
          </cell>
          <cell r="H18">
            <v>43909</v>
          </cell>
          <cell r="I18">
            <v>43909</v>
          </cell>
          <cell r="J18" t="str">
            <v>tarde</v>
          </cell>
          <cell r="K18" t="str">
            <v>Valéria</v>
          </cell>
          <cell r="L18" t="str">
            <v>x</v>
          </cell>
          <cell r="M18" t="str">
            <v>x</v>
          </cell>
        </row>
        <row r="19">
          <cell r="B19" t="str">
            <v>Webinar</v>
          </cell>
          <cell r="C19"/>
          <cell r="D19"/>
          <cell r="E19" t="str">
            <v>Web of Science e Endnote</v>
          </cell>
          <cell r="F19">
            <v>0.125</v>
          </cell>
          <cell r="G19">
            <v>85</v>
          </cell>
          <cell r="H19">
            <v>43945</v>
          </cell>
          <cell r="I19">
            <v>43945</v>
          </cell>
          <cell r="J19" t="str">
            <v>manhã</v>
          </cell>
          <cell r="K19" t="str">
            <v>Deborah Dias</v>
          </cell>
          <cell r="L19"/>
          <cell r="M19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topLeftCell="A26" workbookViewId="0">
      <selection activeCell="H30" sqref="H30"/>
    </sheetView>
  </sheetViews>
  <sheetFormatPr defaultRowHeight="1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8" width="10.42578125" bestFit="1" customWidth="1"/>
    <col min="9" max="9" width="7.85546875" customWidth="1"/>
    <col min="10" max="10" width="17.85546875" customWidth="1"/>
  </cols>
  <sheetData>
    <row r="1" spans="1:11" ht="11.25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</row>
    <row r="2" spans="1:11" ht="13.5" customHeight="1">
      <c r="A2" s="43" t="s">
        <v>14</v>
      </c>
      <c r="B2" s="43"/>
      <c r="C2" s="43"/>
      <c r="D2" s="43"/>
      <c r="E2" s="43"/>
      <c r="F2" s="43"/>
      <c r="G2" s="43"/>
      <c r="H2" s="43"/>
      <c r="I2" s="43"/>
      <c r="J2" s="43"/>
      <c r="K2" s="1"/>
    </row>
    <row r="3" spans="1:11" ht="13.5" customHeight="1">
      <c r="A3" s="43" t="s">
        <v>2</v>
      </c>
      <c r="B3" s="43"/>
      <c r="C3" s="43"/>
      <c r="D3" s="43"/>
      <c r="E3" s="43"/>
      <c r="F3" s="43"/>
      <c r="G3" s="43"/>
      <c r="H3" s="43"/>
      <c r="I3" s="43"/>
      <c r="J3" s="43"/>
      <c r="K3" s="1"/>
    </row>
    <row r="4" spans="1:11" ht="7.5" customHeight="1">
      <c r="A4" s="43"/>
      <c r="B4" s="43"/>
      <c r="C4" s="43"/>
      <c r="D4" s="43"/>
      <c r="E4" s="43"/>
      <c r="F4" s="43"/>
      <c r="G4" s="43"/>
      <c r="H4" s="43"/>
      <c r="I4" s="43"/>
      <c r="J4" s="43"/>
    </row>
    <row r="5" spans="1:11" ht="12.75" customHeight="1">
      <c r="A5" s="50" t="s">
        <v>3</v>
      </c>
      <c r="B5" s="50"/>
      <c r="C5" s="50"/>
      <c r="D5" s="50"/>
      <c r="E5" s="50"/>
      <c r="F5" s="50"/>
      <c r="G5" s="50"/>
      <c r="H5" s="50"/>
      <c r="I5" s="50"/>
      <c r="J5" s="50"/>
    </row>
    <row r="6" spans="1:11" ht="8.25" customHeight="1">
      <c r="A6" s="43"/>
      <c r="B6" s="43"/>
      <c r="C6" s="43"/>
      <c r="D6" s="43"/>
      <c r="E6" s="43"/>
      <c r="F6" s="43"/>
      <c r="G6" s="43"/>
      <c r="H6" s="43"/>
      <c r="I6" s="43"/>
      <c r="J6" s="43"/>
    </row>
    <row r="7" spans="1:11" ht="13.5" customHeight="1">
      <c r="A7" s="51" t="s">
        <v>15</v>
      </c>
      <c r="B7" s="51"/>
      <c r="C7" s="51"/>
      <c r="D7" s="51"/>
      <c r="E7" s="51"/>
      <c r="F7" s="51"/>
      <c r="G7" s="51"/>
      <c r="H7" s="51"/>
      <c r="I7" s="51"/>
      <c r="J7" s="51"/>
    </row>
    <row r="8" spans="1:11" ht="8.25" customHeight="1">
      <c r="A8" s="52"/>
      <c r="B8" s="52"/>
      <c r="C8" s="52"/>
      <c r="D8" s="52"/>
      <c r="E8" s="52"/>
      <c r="F8" s="52"/>
      <c r="G8" s="52"/>
      <c r="H8" s="52"/>
      <c r="I8" s="52"/>
      <c r="J8" s="52"/>
    </row>
    <row r="9" spans="1:11" ht="22.5" customHeight="1">
      <c r="A9" s="44" t="s">
        <v>1</v>
      </c>
      <c r="B9" s="44" t="s">
        <v>4</v>
      </c>
      <c r="C9" s="44" t="s">
        <v>5</v>
      </c>
      <c r="D9" s="44" t="s">
        <v>6</v>
      </c>
      <c r="E9" s="44" t="s">
        <v>7</v>
      </c>
      <c r="F9" s="44" t="s">
        <v>13</v>
      </c>
      <c r="G9" s="46" t="s">
        <v>12</v>
      </c>
      <c r="H9" s="47"/>
      <c r="I9" s="48" t="s">
        <v>9</v>
      </c>
      <c r="J9" s="48" t="s">
        <v>8</v>
      </c>
    </row>
    <row r="10" spans="1:11" ht="27" customHeight="1">
      <c r="A10" s="45"/>
      <c r="B10" s="45"/>
      <c r="C10" s="45"/>
      <c r="D10" s="45"/>
      <c r="E10" s="45"/>
      <c r="F10" s="45"/>
      <c r="G10" s="2" t="s">
        <v>10</v>
      </c>
      <c r="H10" s="2" t="s">
        <v>11</v>
      </c>
      <c r="I10" s="49"/>
      <c r="J10" s="49"/>
    </row>
    <row r="11" spans="1:11" ht="38.25">
      <c r="A11" s="4" t="s">
        <v>16</v>
      </c>
      <c r="B11" s="5"/>
      <c r="C11" s="5"/>
      <c r="D11" s="6" t="s">
        <v>17</v>
      </c>
      <c r="E11" s="7">
        <v>1.0416666666666666E-2</v>
      </c>
      <c r="F11" s="8">
        <v>15</v>
      </c>
      <c r="G11" s="9">
        <v>43859</v>
      </c>
      <c r="H11" s="9">
        <v>43859</v>
      </c>
      <c r="I11" s="5" t="s">
        <v>18</v>
      </c>
      <c r="J11" s="5" t="s">
        <v>19</v>
      </c>
    </row>
    <row r="12" spans="1:11" ht="25.5">
      <c r="A12" s="10" t="s">
        <v>16</v>
      </c>
      <c r="B12" s="11"/>
      <c r="C12" s="10"/>
      <c r="D12" s="12" t="s">
        <v>20</v>
      </c>
      <c r="E12" s="13">
        <v>3.125E-2</v>
      </c>
      <c r="F12" s="14">
        <v>20</v>
      </c>
      <c r="G12" s="15">
        <v>43882</v>
      </c>
      <c r="H12" s="15">
        <v>43882</v>
      </c>
      <c r="I12" s="10" t="s">
        <v>21</v>
      </c>
      <c r="J12" s="10" t="s">
        <v>19</v>
      </c>
    </row>
    <row r="13" spans="1:11">
      <c r="A13" s="10" t="s">
        <v>22</v>
      </c>
      <c r="B13" s="11"/>
      <c r="C13" s="10"/>
      <c r="D13" s="12" t="s">
        <v>23</v>
      </c>
      <c r="E13" s="13">
        <v>0.14583333333333334</v>
      </c>
      <c r="F13" s="14">
        <v>42</v>
      </c>
      <c r="G13" s="15">
        <v>43873</v>
      </c>
      <c r="H13" s="15">
        <v>43873</v>
      </c>
      <c r="I13" s="10" t="s">
        <v>18</v>
      </c>
      <c r="J13" s="10" t="s">
        <v>24</v>
      </c>
    </row>
    <row r="14" spans="1:11" ht="25.5">
      <c r="A14" s="10" t="s">
        <v>16</v>
      </c>
      <c r="B14" s="11"/>
      <c r="C14" s="10"/>
      <c r="D14" s="12" t="s">
        <v>25</v>
      </c>
      <c r="E14" s="13">
        <v>2.0833333333333332E-2</v>
      </c>
      <c r="F14" s="14">
        <v>3</v>
      </c>
      <c r="G14" s="15">
        <v>43888</v>
      </c>
      <c r="H14" s="15">
        <v>43888</v>
      </c>
      <c r="I14" s="10" t="s">
        <v>18</v>
      </c>
      <c r="J14" s="10" t="s">
        <v>26</v>
      </c>
    </row>
    <row r="15" spans="1:11">
      <c r="A15" s="10" t="s">
        <v>22</v>
      </c>
      <c r="B15" s="11"/>
      <c r="C15" s="10"/>
      <c r="D15" s="12" t="s">
        <v>27</v>
      </c>
      <c r="E15" s="13">
        <v>0.16666666666666666</v>
      </c>
      <c r="F15" s="14">
        <v>40</v>
      </c>
      <c r="G15" s="15">
        <v>43892</v>
      </c>
      <c r="H15" s="15">
        <v>43892</v>
      </c>
      <c r="I15" s="10" t="s">
        <v>18</v>
      </c>
      <c r="J15" s="10" t="s">
        <v>28</v>
      </c>
    </row>
    <row r="16" spans="1:11" ht="38.25">
      <c r="A16" s="10" t="s">
        <v>29</v>
      </c>
      <c r="B16" s="11"/>
      <c r="C16" s="10"/>
      <c r="D16" s="12" t="s">
        <v>30</v>
      </c>
      <c r="E16" s="13">
        <v>6.25E-2</v>
      </c>
      <c r="F16" s="14">
        <v>26</v>
      </c>
      <c r="G16" s="15">
        <v>43893</v>
      </c>
      <c r="H16" s="15">
        <v>43893</v>
      </c>
      <c r="I16" s="10" t="s">
        <v>31</v>
      </c>
      <c r="J16" s="10" t="s">
        <v>24</v>
      </c>
    </row>
    <row r="17" spans="1:10">
      <c r="A17" s="10" t="s">
        <v>22</v>
      </c>
      <c r="B17" s="11"/>
      <c r="C17" s="16"/>
      <c r="D17" s="17" t="s">
        <v>32</v>
      </c>
      <c r="E17" s="13">
        <v>0.14583333333333334</v>
      </c>
      <c r="F17" s="14">
        <v>40</v>
      </c>
      <c r="G17" s="15">
        <v>43892</v>
      </c>
      <c r="H17" s="15">
        <v>43892</v>
      </c>
      <c r="I17" s="10" t="s">
        <v>18</v>
      </c>
      <c r="J17" s="10" t="s">
        <v>28</v>
      </c>
    </row>
    <row r="18" spans="1:10" ht="25.5">
      <c r="A18" s="10" t="s">
        <v>29</v>
      </c>
      <c r="B18" s="10"/>
      <c r="C18" s="10"/>
      <c r="D18" s="17" t="s">
        <v>33</v>
      </c>
      <c r="E18" s="13">
        <v>0.125</v>
      </c>
      <c r="F18" s="14">
        <v>25</v>
      </c>
      <c r="G18" s="15">
        <v>43902</v>
      </c>
      <c r="H18" s="15">
        <v>43902</v>
      </c>
      <c r="I18" s="10" t="s">
        <v>31</v>
      </c>
      <c r="J18" s="10" t="s">
        <v>24</v>
      </c>
    </row>
    <row r="19" spans="1:10" ht="25.5">
      <c r="A19" s="10" t="s">
        <v>29</v>
      </c>
      <c r="B19" s="10"/>
      <c r="C19" s="10"/>
      <c r="D19" s="18" t="s">
        <v>34</v>
      </c>
      <c r="E19" s="13">
        <v>0.125</v>
      </c>
      <c r="F19" s="14">
        <v>25</v>
      </c>
      <c r="G19" s="15">
        <v>43903</v>
      </c>
      <c r="H19" s="15">
        <v>43903</v>
      </c>
      <c r="I19" s="10" t="s">
        <v>31</v>
      </c>
      <c r="J19" s="10" t="s">
        <v>24</v>
      </c>
    </row>
    <row r="20" spans="1:10" ht="25.5">
      <c r="A20" s="10" t="s">
        <v>29</v>
      </c>
      <c r="B20" s="10"/>
      <c r="C20" s="10"/>
      <c r="D20" s="12" t="s">
        <v>35</v>
      </c>
      <c r="E20" s="13">
        <v>0.125</v>
      </c>
      <c r="F20" s="14">
        <v>25</v>
      </c>
      <c r="G20" s="15">
        <v>43909</v>
      </c>
      <c r="H20" s="15">
        <v>43909</v>
      </c>
      <c r="I20" s="10" t="s">
        <v>31</v>
      </c>
      <c r="J20" s="10" t="s">
        <v>24</v>
      </c>
    </row>
    <row r="21" spans="1:10" s="3" customFormat="1">
      <c r="A21" s="10" t="s">
        <v>36</v>
      </c>
      <c r="B21" s="10"/>
      <c r="C21" s="10"/>
      <c r="D21" s="12" t="s">
        <v>37</v>
      </c>
      <c r="E21" s="13">
        <v>0.125</v>
      </c>
      <c r="F21" s="14">
        <v>85</v>
      </c>
      <c r="G21" s="15">
        <v>43945</v>
      </c>
      <c r="H21" s="15">
        <v>43945</v>
      </c>
      <c r="I21" s="10" t="s">
        <v>18</v>
      </c>
      <c r="J21" s="10" t="s">
        <v>28</v>
      </c>
    </row>
    <row r="22" spans="1:10">
      <c r="A22" s="10" t="s">
        <v>36</v>
      </c>
      <c r="B22" s="10"/>
      <c r="C22" s="10"/>
      <c r="D22" s="12" t="s">
        <v>37</v>
      </c>
      <c r="E22" s="13">
        <v>0.125</v>
      </c>
      <c r="F22" s="14">
        <v>330</v>
      </c>
      <c r="G22" s="15">
        <v>43951</v>
      </c>
      <c r="H22" s="15">
        <v>43951</v>
      </c>
      <c r="I22" s="10" t="s">
        <v>31</v>
      </c>
      <c r="J22" s="10" t="s">
        <v>28</v>
      </c>
    </row>
    <row r="23" spans="1:10" s="3" customFormat="1" ht="25.5">
      <c r="A23" s="10" t="s">
        <v>36</v>
      </c>
      <c r="B23" s="10"/>
      <c r="C23" s="10"/>
      <c r="D23" s="19" t="s">
        <v>38</v>
      </c>
      <c r="E23" s="13">
        <v>8.3333333333333329E-2</v>
      </c>
      <c r="F23" s="14">
        <v>47</v>
      </c>
      <c r="G23" s="15">
        <v>43956</v>
      </c>
      <c r="H23" s="15">
        <v>43956</v>
      </c>
      <c r="I23" s="10" t="s">
        <v>18</v>
      </c>
      <c r="J23" s="10" t="s">
        <v>39</v>
      </c>
    </row>
    <row r="24" spans="1:10" s="3" customFormat="1" ht="51">
      <c r="A24" s="10" t="s">
        <v>29</v>
      </c>
      <c r="B24" s="10"/>
      <c r="C24" s="10" t="s">
        <v>40</v>
      </c>
      <c r="D24" s="20" t="s">
        <v>41</v>
      </c>
      <c r="E24" s="13">
        <v>0.14583333333333334</v>
      </c>
      <c r="F24" s="14">
        <v>49</v>
      </c>
      <c r="G24" s="15">
        <v>43964</v>
      </c>
      <c r="H24" s="15">
        <v>43964</v>
      </c>
      <c r="I24" s="10" t="s">
        <v>31</v>
      </c>
      <c r="J24" s="10" t="s">
        <v>42</v>
      </c>
    </row>
    <row r="25" spans="1:10" ht="64.5">
      <c r="A25" s="10" t="s">
        <v>29</v>
      </c>
      <c r="B25" s="10"/>
      <c r="C25" s="10" t="s">
        <v>40</v>
      </c>
      <c r="D25" s="20" t="s">
        <v>43</v>
      </c>
      <c r="E25" s="13">
        <v>8.3333333333333329E-2</v>
      </c>
      <c r="F25" s="14">
        <v>49</v>
      </c>
      <c r="G25" s="15">
        <v>43965</v>
      </c>
      <c r="H25" s="15">
        <v>43965</v>
      </c>
      <c r="I25" s="10" t="s">
        <v>18</v>
      </c>
      <c r="J25" s="10" t="s">
        <v>44</v>
      </c>
    </row>
    <row r="26" spans="1:10" s="3" customFormat="1" ht="63.75">
      <c r="A26" s="10" t="s">
        <v>29</v>
      </c>
      <c r="B26" s="10"/>
      <c r="C26" s="10" t="s">
        <v>45</v>
      </c>
      <c r="D26" s="12" t="s">
        <v>46</v>
      </c>
      <c r="E26" s="13">
        <v>8.3333333333333329E-2</v>
      </c>
      <c r="F26" s="14">
        <v>4</v>
      </c>
      <c r="G26" s="15">
        <v>43997</v>
      </c>
      <c r="H26" s="15">
        <v>43997</v>
      </c>
      <c r="I26" s="10" t="s">
        <v>21</v>
      </c>
      <c r="J26" s="10" t="s">
        <v>47</v>
      </c>
    </row>
    <row r="27" spans="1:10" s="3" customFormat="1" ht="38.25">
      <c r="A27" s="21" t="s">
        <v>29</v>
      </c>
      <c r="B27" s="21"/>
      <c r="C27" s="21" t="s">
        <v>48</v>
      </c>
      <c r="D27" s="20" t="s">
        <v>49</v>
      </c>
      <c r="E27" s="22">
        <v>0.10416666666666667</v>
      </c>
      <c r="F27" s="23">
        <v>58</v>
      </c>
      <c r="G27" s="24">
        <v>44006</v>
      </c>
      <c r="H27" s="24">
        <v>44006</v>
      </c>
      <c r="I27" s="21" t="s">
        <v>18</v>
      </c>
      <c r="J27" s="21" t="s">
        <v>24</v>
      </c>
    </row>
    <row r="28" spans="1:10" s="3" customFormat="1" ht="48">
      <c r="A28" s="25" t="s">
        <v>29</v>
      </c>
      <c r="B28" s="26" t="s">
        <v>50</v>
      </c>
      <c r="C28" s="25"/>
      <c r="D28" s="54" t="s">
        <v>51</v>
      </c>
      <c r="E28" s="27">
        <v>0.125</v>
      </c>
      <c r="F28" s="28">
        <v>25</v>
      </c>
      <c r="G28" s="29">
        <v>44026</v>
      </c>
      <c r="H28" s="29">
        <v>44026</v>
      </c>
      <c r="I28" s="25" t="s">
        <v>18</v>
      </c>
      <c r="J28" s="25" t="s">
        <v>24</v>
      </c>
    </row>
    <row r="29" spans="1:10" s="3" customFormat="1" ht="48">
      <c r="A29" s="25" t="s">
        <v>29</v>
      </c>
      <c r="B29" s="26" t="s">
        <v>50</v>
      </c>
      <c r="C29" s="25"/>
      <c r="D29" s="53" t="s">
        <v>51</v>
      </c>
      <c r="E29" s="27">
        <v>0.125</v>
      </c>
      <c r="F29" s="28">
        <v>25</v>
      </c>
      <c r="G29" s="29">
        <v>44033</v>
      </c>
      <c r="H29" s="29">
        <v>44033</v>
      </c>
      <c r="I29" s="25" t="s">
        <v>18</v>
      </c>
      <c r="J29" s="25" t="s">
        <v>24</v>
      </c>
    </row>
    <row r="30" spans="1:10" ht="25.5">
      <c r="A30" s="10" t="s">
        <v>52</v>
      </c>
      <c r="B30" s="10"/>
      <c r="C30" s="10"/>
      <c r="D30" s="12" t="s">
        <v>53</v>
      </c>
      <c r="E30" s="13">
        <v>8.3333333333333329E-2</v>
      </c>
      <c r="F30" s="14">
        <v>156</v>
      </c>
      <c r="G30" s="15">
        <v>44039</v>
      </c>
      <c r="H30" s="15">
        <v>44039</v>
      </c>
      <c r="I30" s="10" t="s">
        <v>18</v>
      </c>
      <c r="J30" s="10" t="s">
        <v>54</v>
      </c>
    </row>
    <row r="31" spans="1:10" ht="25.5">
      <c r="A31" s="10" t="s">
        <v>52</v>
      </c>
      <c r="B31" s="10"/>
      <c r="C31" s="10"/>
      <c r="D31" s="12" t="s">
        <v>55</v>
      </c>
      <c r="E31" s="13">
        <v>8.3333333333333329E-2</v>
      </c>
      <c r="F31" s="14">
        <v>117</v>
      </c>
      <c r="G31" s="15">
        <v>44041</v>
      </c>
      <c r="H31" s="15">
        <v>44041</v>
      </c>
      <c r="I31" s="10" t="s">
        <v>18</v>
      </c>
      <c r="J31" s="10" t="s">
        <v>54</v>
      </c>
    </row>
    <row r="32" spans="1:10" ht="38.25">
      <c r="A32" s="10" t="s">
        <v>52</v>
      </c>
      <c r="B32" s="10"/>
      <c r="C32" s="10"/>
      <c r="D32" s="12" t="s">
        <v>56</v>
      </c>
      <c r="E32" s="13">
        <v>8.3333333333333329E-2</v>
      </c>
      <c r="F32" s="14">
        <v>123</v>
      </c>
      <c r="G32" s="15">
        <v>44043</v>
      </c>
      <c r="H32" s="15">
        <v>44043</v>
      </c>
      <c r="I32" s="10" t="s">
        <v>18</v>
      </c>
      <c r="J32" s="10" t="s">
        <v>54</v>
      </c>
    </row>
    <row r="33" spans="1:10" ht="63.75">
      <c r="A33" s="10" t="s">
        <v>29</v>
      </c>
      <c r="B33" s="10"/>
      <c r="C33" s="10" t="s">
        <v>57</v>
      </c>
      <c r="D33" s="12" t="s">
        <v>58</v>
      </c>
      <c r="E33" s="13">
        <v>0.16666666666666666</v>
      </c>
      <c r="F33" s="14">
        <v>28</v>
      </c>
      <c r="G33" s="15">
        <v>44053</v>
      </c>
      <c r="H33" s="15">
        <v>44053</v>
      </c>
      <c r="I33" s="10" t="s">
        <v>18</v>
      </c>
      <c r="J33" s="10" t="s">
        <v>24</v>
      </c>
    </row>
    <row r="34" spans="1:10" ht="63.75">
      <c r="A34" s="10" t="s">
        <v>29</v>
      </c>
      <c r="B34" s="10"/>
      <c r="C34" s="10" t="s">
        <v>59</v>
      </c>
      <c r="D34" s="12" t="s">
        <v>58</v>
      </c>
      <c r="E34" s="13">
        <v>0.16666666666666666</v>
      </c>
      <c r="F34" s="14">
        <v>28</v>
      </c>
      <c r="G34" s="15">
        <v>44055</v>
      </c>
      <c r="H34" s="15">
        <v>44055</v>
      </c>
      <c r="I34" s="10" t="s">
        <v>18</v>
      </c>
      <c r="J34" s="10" t="s">
        <v>24</v>
      </c>
    </row>
    <row r="35" spans="1:10" ht="63.75">
      <c r="A35" s="10" t="s">
        <v>29</v>
      </c>
      <c r="B35" s="10"/>
      <c r="C35" s="10" t="s">
        <v>60</v>
      </c>
      <c r="D35" s="12" t="s">
        <v>58</v>
      </c>
      <c r="E35" s="13">
        <v>0.16666666666666666</v>
      </c>
      <c r="F35" s="14">
        <v>28</v>
      </c>
      <c r="G35" s="15">
        <v>44057</v>
      </c>
      <c r="H35" s="15">
        <v>44057</v>
      </c>
      <c r="I35" s="10" t="s">
        <v>18</v>
      </c>
      <c r="J35" s="10" t="s">
        <v>24</v>
      </c>
    </row>
    <row r="36" spans="1:10" ht="63.75">
      <c r="A36" s="10" t="s">
        <v>29</v>
      </c>
      <c r="B36" s="30"/>
      <c r="C36" s="10" t="s">
        <v>61</v>
      </c>
      <c r="D36" s="12" t="s">
        <v>58</v>
      </c>
      <c r="E36" s="13">
        <v>0.16666666666666666</v>
      </c>
      <c r="F36" s="14">
        <v>28</v>
      </c>
      <c r="G36" s="9">
        <v>44060</v>
      </c>
      <c r="H36" s="9">
        <v>44060</v>
      </c>
      <c r="I36" s="10" t="s">
        <v>18</v>
      </c>
      <c r="J36" s="10" t="s">
        <v>24</v>
      </c>
    </row>
    <row r="37" spans="1:10" ht="63.75">
      <c r="A37" s="10" t="s">
        <v>29</v>
      </c>
      <c r="B37" s="30"/>
      <c r="C37" s="10" t="s">
        <v>62</v>
      </c>
      <c r="D37" s="12" t="s">
        <v>58</v>
      </c>
      <c r="E37" s="13">
        <v>0.16666666666666666</v>
      </c>
      <c r="F37" s="14">
        <v>28</v>
      </c>
      <c r="G37" s="9">
        <v>44062</v>
      </c>
      <c r="H37" s="9">
        <v>44062</v>
      </c>
      <c r="I37" s="10" t="s">
        <v>18</v>
      </c>
      <c r="J37" s="10" t="s">
        <v>24</v>
      </c>
    </row>
    <row r="38" spans="1:10" ht="63.75">
      <c r="A38" s="10" t="s">
        <v>29</v>
      </c>
      <c r="B38" s="10"/>
      <c r="C38" s="10" t="s">
        <v>63</v>
      </c>
      <c r="D38" s="12" t="s">
        <v>58</v>
      </c>
      <c r="E38" s="13">
        <v>0.16666666666666666</v>
      </c>
      <c r="F38" s="14">
        <v>28</v>
      </c>
      <c r="G38" s="15">
        <v>44064</v>
      </c>
      <c r="H38" s="15">
        <v>44064</v>
      </c>
      <c r="I38" s="10" t="s">
        <v>18</v>
      </c>
      <c r="J38" s="10" t="s">
        <v>24</v>
      </c>
    </row>
    <row r="39" spans="1:10" ht="63.75">
      <c r="A39" s="10" t="s">
        <v>29</v>
      </c>
      <c r="B39" s="10"/>
      <c r="C39" s="10" t="s">
        <v>64</v>
      </c>
      <c r="D39" s="12" t="s">
        <v>58</v>
      </c>
      <c r="E39" s="13">
        <v>0.16666666666666666</v>
      </c>
      <c r="F39" s="14">
        <v>28</v>
      </c>
      <c r="G39" s="15">
        <v>44067</v>
      </c>
      <c r="H39" s="15">
        <v>44067</v>
      </c>
      <c r="I39" s="10" t="s">
        <v>18</v>
      </c>
      <c r="J39" s="10" t="s">
        <v>24</v>
      </c>
    </row>
    <row r="40" spans="1:10" ht="63.75">
      <c r="A40" s="10" t="s">
        <v>29</v>
      </c>
      <c r="B40" s="10"/>
      <c r="C40" s="10" t="s">
        <v>65</v>
      </c>
      <c r="D40" s="12" t="s">
        <v>58</v>
      </c>
      <c r="E40" s="13">
        <v>0.16666666666666666</v>
      </c>
      <c r="F40" s="14">
        <v>28</v>
      </c>
      <c r="G40" s="15">
        <v>44067</v>
      </c>
      <c r="H40" s="15">
        <v>44067</v>
      </c>
      <c r="I40" s="10" t="s">
        <v>18</v>
      </c>
      <c r="J40" s="10" t="s">
        <v>24</v>
      </c>
    </row>
    <row r="41" spans="1:10" ht="63.75">
      <c r="A41" s="10" t="s">
        <v>29</v>
      </c>
      <c r="B41" s="10"/>
      <c r="C41" s="10" t="s">
        <v>66</v>
      </c>
      <c r="D41" s="12" t="s">
        <v>58</v>
      </c>
      <c r="E41" s="13">
        <v>0.16666666666666666</v>
      </c>
      <c r="F41" s="14">
        <v>28</v>
      </c>
      <c r="G41" s="15">
        <v>44071</v>
      </c>
      <c r="H41" s="15">
        <v>44071</v>
      </c>
      <c r="I41" s="10" t="s">
        <v>18</v>
      </c>
      <c r="J41" s="10" t="s">
        <v>54</v>
      </c>
    </row>
    <row r="42" spans="1:10" ht="25.5">
      <c r="A42" s="10" t="s">
        <v>29</v>
      </c>
      <c r="B42" s="10"/>
      <c r="C42" s="10"/>
      <c r="D42" s="12" t="s">
        <v>67</v>
      </c>
      <c r="E42" s="13">
        <v>8.3333333333333329E-2</v>
      </c>
      <c r="F42" s="14">
        <v>13</v>
      </c>
      <c r="G42" s="15">
        <v>44063</v>
      </c>
      <c r="H42" s="15">
        <v>44063</v>
      </c>
      <c r="I42" s="10" t="s">
        <v>18</v>
      </c>
      <c r="J42" s="10" t="s">
        <v>54</v>
      </c>
    </row>
    <row r="43" spans="1:10" ht="25.5">
      <c r="A43" s="10" t="s">
        <v>29</v>
      </c>
      <c r="B43" s="10"/>
      <c r="C43" s="10"/>
      <c r="D43" s="12" t="s">
        <v>68</v>
      </c>
      <c r="E43" s="13">
        <v>8.3333333333333329E-2</v>
      </c>
      <c r="F43" s="14">
        <v>13</v>
      </c>
      <c r="G43" s="15">
        <v>44070</v>
      </c>
      <c r="H43" s="15">
        <v>44070</v>
      </c>
      <c r="I43" s="10" t="s">
        <v>18</v>
      </c>
      <c r="J43" s="10" t="s">
        <v>54</v>
      </c>
    </row>
    <row r="44" spans="1:10" ht="25.5">
      <c r="A44" s="10" t="s">
        <v>29</v>
      </c>
      <c r="B44" s="10"/>
      <c r="C44" s="10"/>
      <c r="D44" s="12" t="s">
        <v>69</v>
      </c>
      <c r="E44" s="13">
        <v>8.3333333333333329E-2</v>
      </c>
      <c r="F44" s="14">
        <v>12</v>
      </c>
      <c r="G44" s="15">
        <v>44062</v>
      </c>
      <c r="H44" s="15">
        <v>44062</v>
      </c>
      <c r="I44" s="10" t="s">
        <v>21</v>
      </c>
      <c r="J44" s="10" t="s">
        <v>70</v>
      </c>
    </row>
    <row r="45" spans="1:10" ht="76.5">
      <c r="A45" s="10" t="s">
        <v>29</v>
      </c>
      <c r="B45" s="10" t="s">
        <v>71</v>
      </c>
      <c r="C45" s="20"/>
      <c r="D45" s="12" t="s">
        <v>69</v>
      </c>
      <c r="E45" s="13">
        <v>4.1666666666666664E-2</v>
      </c>
      <c r="F45" s="14">
        <v>10</v>
      </c>
      <c r="G45" s="15">
        <v>44070</v>
      </c>
      <c r="H45" s="15">
        <v>44070</v>
      </c>
      <c r="I45" s="10" t="s">
        <v>31</v>
      </c>
      <c r="J45" s="10" t="s">
        <v>70</v>
      </c>
    </row>
    <row r="46" spans="1:10" ht="25.5">
      <c r="A46" s="10" t="s">
        <v>29</v>
      </c>
      <c r="B46" s="10"/>
      <c r="C46" s="31" t="s">
        <v>72</v>
      </c>
      <c r="D46" s="12" t="s">
        <v>73</v>
      </c>
      <c r="E46" s="13">
        <v>0.14583333333333334</v>
      </c>
      <c r="F46" s="14">
        <v>22</v>
      </c>
      <c r="G46" s="15">
        <v>44097</v>
      </c>
      <c r="H46" s="15">
        <v>44097</v>
      </c>
      <c r="I46" s="10" t="s">
        <v>18</v>
      </c>
      <c r="J46" s="10" t="s">
        <v>24</v>
      </c>
    </row>
    <row r="47" spans="1:10" ht="25.5">
      <c r="A47" s="10" t="s">
        <v>29</v>
      </c>
      <c r="B47" s="10"/>
      <c r="C47" s="31" t="s">
        <v>72</v>
      </c>
      <c r="D47" s="12" t="s">
        <v>73</v>
      </c>
      <c r="E47" s="13">
        <v>0.14583333333333334</v>
      </c>
      <c r="F47" s="14">
        <v>22</v>
      </c>
      <c r="G47" s="15">
        <v>44104</v>
      </c>
      <c r="H47" s="15">
        <v>44104</v>
      </c>
      <c r="I47" s="10" t="s">
        <v>18</v>
      </c>
      <c r="J47" s="10" t="s">
        <v>24</v>
      </c>
    </row>
    <row r="48" spans="1:10" ht="38.25">
      <c r="A48" s="32" t="s">
        <v>29</v>
      </c>
      <c r="B48" s="33" t="s">
        <v>74</v>
      </c>
      <c r="C48" s="33"/>
      <c r="D48" s="34" t="s">
        <v>75</v>
      </c>
      <c r="E48" s="35">
        <v>6.25E-2</v>
      </c>
      <c r="F48" s="32">
        <v>18</v>
      </c>
      <c r="G48" s="36">
        <v>44140</v>
      </c>
      <c r="H48" s="36">
        <v>44140</v>
      </c>
      <c r="I48" s="33" t="s">
        <v>31</v>
      </c>
      <c r="J48" s="10" t="s">
        <v>24</v>
      </c>
    </row>
    <row r="49" spans="1:10" ht="26.25">
      <c r="A49" s="16" t="s">
        <v>29</v>
      </c>
      <c r="B49" s="37" t="s">
        <v>76</v>
      </c>
      <c r="C49" s="38"/>
      <c r="D49" s="39" t="s">
        <v>77</v>
      </c>
      <c r="E49" s="13">
        <v>8.3333333333333329E-2</v>
      </c>
      <c r="F49" s="16">
        <v>30</v>
      </c>
      <c r="G49" s="24">
        <v>44172</v>
      </c>
      <c r="H49" s="24">
        <v>44172</v>
      </c>
      <c r="I49" s="38" t="s">
        <v>31</v>
      </c>
      <c r="J49" s="10" t="s">
        <v>42</v>
      </c>
    </row>
    <row r="50" spans="1:10" ht="26.25">
      <c r="A50" s="40" t="s">
        <v>29</v>
      </c>
      <c r="B50" s="37" t="s">
        <v>76</v>
      </c>
      <c r="C50" s="38"/>
      <c r="D50" s="39" t="s">
        <v>77</v>
      </c>
      <c r="E50" s="13">
        <v>8.3333333333333329E-2</v>
      </c>
      <c r="F50" s="41">
        <v>30</v>
      </c>
      <c r="G50" s="15">
        <v>44173</v>
      </c>
      <c r="H50" s="42">
        <v>44173</v>
      </c>
      <c r="I50" s="38" t="s">
        <v>31</v>
      </c>
      <c r="J50" s="10" t="s">
        <v>42</v>
      </c>
    </row>
    <row r="51" spans="1:10">
      <c r="F51">
        <f>SUM(F11:F50)</f>
        <v>1751</v>
      </c>
    </row>
  </sheetData>
  <mergeCells count="17">
    <mergeCell ref="A8:J8"/>
    <mergeCell ref="A1:J1"/>
    <mergeCell ref="A2:J2"/>
    <mergeCell ref="A3:J3"/>
    <mergeCell ref="A4:J4"/>
    <mergeCell ref="D9:D10"/>
    <mergeCell ref="E9:E10"/>
    <mergeCell ref="F9:F10"/>
    <mergeCell ref="G9:H9"/>
    <mergeCell ref="I9:I10"/>
    <mergeCell ref="J9:J10"/>
    <mergeCell ref="A5:J5"/>
    <mergeCell ref="A6:J6"/>
    <mergeCell ref="A7:J7"/>
    <mergeCell ref="A9:A10"/>
    <mergeCell ref="B9:B10"/>
    <mergeCell ref="C9:C10"/>
  </mergeCells>
  <conditionalFormatting sqref="G11:H50">
    <cfRule type="expression" dxfId="0" priority="1">
      <formula>OR(WEEKDAY(G11,2)=6,WEEKDAY(G11,2)=7)</formula>
    </cfRule>
  </conditionalFormatting>
  <dataValidations count="3">
    <dataValidation type="date" allowBlank="1" showInputMessage="1" showErrorMessage="1" errorTitle="Data de término" error="A data de término não pode ser anterior à de início ou posterior a hoje." sqref="H32:H33 G28:G30 H11:H19 H44:H50">
      <formula1>F11</formula1>
      <formula2>TODAY()</formula2>
    </dataValidation>
    <dataValidation type="date" operator="lessThanOrEqual" allowBlank="1" showInputMessage="1" showErrorMessage="1" errorTitle="Data de início" error="A data não pode ser posterior a hoje." sqref="H20:H31 H34:H43 G11:G27 G31:G50">
      <formula1>TODAY()</formula1>
    </dataValidation>
    <dataValidation type="list" allowBlank="1" showInputMessage="1" showErrorMessage="1" errorTitle="Tipo de capacitação" error="Escolha uma das opções da lista." sqref="A11:A50">
      <formula1>_xlnm.Print_Area</formula1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E</cp:lastModifiedBy>
  <cp:lastPrinted>2019-10-14T13:51:59Z</cp:lastPrinted>
  <dcterms:created xsi:type="dcterms:W3CDTF">2014-12-17T12:53:06Z</dcterms:created>
  <dcterms:modified xsi:type="dcterms:W3CDTF">2021-01-28T21:09:07Z</dcterms:modified>
</cp:coreProperties>
</file>