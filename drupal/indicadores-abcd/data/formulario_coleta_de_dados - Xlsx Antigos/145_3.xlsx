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2" windowHeight="9276"/>
  </bookViews>
  <sheets>
    <sheet name="CAPACITACAO" sheetId="1" r:id="rId1"/>
  </sheets>
  <calcPr calcId="145621"/>
</workbook>
</file>

<file path=xl/calcChain.xml><?xml version="1.0" encoding="utf-8"?>
<calcChain xmlns="http://schemas.openxmlformats.org/spreadsheetml/2006/main">
  <c r="F33" i="1" l="1"/>
  <c r="F32" i="1"/>
  <c r="F31" i="1"/>
  <c r="F48" i="1"/>
  <c r="F38" i="1" l="1"/>
  <c r="F36" i="1"/>
  <c r="F34" i="1"/>
  <c r="F18" i="1" l="1"/>
</calcChain>
</file>

<file path=xl/sharedStrings.xml><?xml version="1.0" encoding="utf-8"?>
<sst xmlns="http://schemas.openxmlformats.org/spreadsheetml/2006/main" count="327" uniqueCount="114">
  <si>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</si>
  <si>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</si>
  <si>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</si>
  <si>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</si>
  <si>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</si>
  <si>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</si>
  <si>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</si>
  <si>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</si>
  <si>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</si>
  <si>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</si>
  <si>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</si>
  <si>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</si>
  <si>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</si>
  <si>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</si>
  <si>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</si>
  <si>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</si>
  <si>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</si>
  <si>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Aulas a convite da Unidade</t>
  </si>
  <si>
    <t>Apresentação da Biblioteca e Recursos SIBI-NET (graduação)</t>
  </si>
  <si>
    <t>10 min</t>
  </si>
  <si>
    <t>Tarde</t>
  </si>
  <si>
    <t>Eduardo Graziosi Silva</t>
  </si>
  <si>
    <t>X</t>
  </si>
  <si>
    <t>Elena Luzia Palloni Gonçalves</t>
  </si>
  <si>
    <t>30 min</t>
  </si>
  <si>
    <t>Flávia Helena Cassin</t>
  </si>
  <si>
    <t>Outros</t>
  </si>
  <si>
    <t>Palestra</t>
  </si>
  <si>
    <t>Manhã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</si>
  <si>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</si>
  <si>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</si>
  <si>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</si>
  <si>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</si>
  <si>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</si>
  <si>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</si>
  <si>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</si>
  <si>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</si>
  <si>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</si>
  <si>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</si>
  <si>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</si>
  <si>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</si>
  <si>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SEL (Sistemas de Energia e Automação), Mecatrônica e SEP</t>
  </si>
  <si>
    <t>Computação, Materiais e Manufatura, SAA e Ambiental</t>
  </si>
  <si>
    <t>SEM, Civil e SEL (Eletrônica)</t>
  </si>
  <si>
    <t>XV Semana da Pós-Graduação na EESC</t>
  </si>
  <si>
    <t>Normas e estrutura de trabalho acadêmico para dissertações e teses da USP</t>
  </si>
  <si>
    <t>ORCiD para pesquisadores</t>
  </si>
  <si>
    <t>Noite</t>
  </si>
  <si>
    <t>SAA0338</t>
  </si>
  <si>
    <t>1h40min</t>
  </si>
  <si>
    <t>Ana Paula Aparecida Calabrez e Flávia Helena Cassin</t>
  </si>
  <si>
    <t>Web of Science, Google Acadêmico, Scielo, Bibliotecas digitais de Trabalhos Acadêmicos e de Teses/Dissertações</t>
  </si>
  <si>
    <t>EndNote Basic e Mendeley</t>
  </si>
  <si>
    <t>ABNT 10520 – Citações e ABNT 6023 - Referências
ABNT 6028 - Resumo</t>
  </si>
  <si>
    <t>Estrutura de projeto de pesquisa (modelo FAPESP), Boas práticas científicas (plágio e etc.)</t>
  </si>
  <si>
    <t>Ana Paula Aparecida Calabrez e Eduardo Graziosi Silva</t>
  </si>
  <si>
    <t>Ana Paula Aparecida Calabrez e Elena Luzia Palloni Gonçalves</t>
  </si>
  <si>
    <t>Elenise Maria de Araujo e Teresinha das Graças Coletta</t>
  </si>
  <si>
    <t>1h30min</t>
  </si>
  <si>
    <t>Elena Luzia Palloni Gonçalves e Marilza Aparecida Rodrigues Tognetti</t>
  </si>
  <si>
    <t>Apresentação da Biblioteca e Recursos SIBI-NET (pós-graduação)</t>
  </si>
  <si>
    <t>Apresentação da Biblioteca</t>
  </si>
  <si>
    <t>Elenise Maria de Araujo e Patricia Cristina Silva Leme</t>
  </si>
  <si>
    <t>Economatica</t>
  </si>
  <si>
    <t>1 h</t>
  </si>
  <si>
    <t>2 h</t>
  </si>
  <si>
    <t>Gilberto Fortes (Consultor da Economatica)</t>
  </si>
  <si>
    <t>Apresentação de estudo de usuários realizado na Biblioteca para turma de Biblioteconomia e Ciência da Informação da UFSCar</t>
  </si>
  <si>
    <t>2h30min</t>
  </si>
  <si>
    <t>STT5850</t>
  </si>
  <si>
    <t>Mendeley</t>
  </si>
  <si>
    <t>2h</t>
  </si>
  <si>
    <t>Apresentação da Biblioteca para alunos da Universidad Católica de Colombia</t>
  </si>
  <si>
    <t>1h</t>
  </si>
  <si>
    <t>SEM5892 e SEL5722</t>
  </si>
  <si>
    <t>Apresentação da Biblioteca: Portal de Busca Integrada e BDTD-USP</t>
  </si>
  <si>
    <t>Apresentação dos gerenciadores de referência: EndNote e Mendeley</t>
  </si>
  <si>
    <t>Norma sobre Resumo NBR 6028 e Elementos essenciais do Projeto de Pesquisa - Modelo FAPESP (Template FAPESP e Word)</t>
  </si>
  <si>
    <t>Flávia Helena Cassin e Elenise Maria de Araujo</t>
  </si>
  <si>
    <t>Disciplina PAE Integrada (SET5927 e STT5893)</t>
  </si>
  <si>
    <t>Apresentação da Biblioteca, levantamento bibliográfico e Portal de Busca Integrada</t>
  </si>
  <si>
    <t>3h</t>
  </si>
  <si>
    <t>Template de trabalhos acadêmicos</t>
  </si>
  <si>
    <t>Elenise Maria de Araujo</t>
  </si>
  <si>
    <t xml:space="preserve">Bases de dados (Web of Science e Scopus) e ORCiD </t>
  </si>
  <si>
    <t>Normas para citação (NBR 10520), BDTD, Plágio, Boas práticas científicas</t>
  </si>
  <si>
    <t>Norma sobre Resumo (NBR 6028) e Gerenciadores de referência: EndNote e Mendeley</t>
  </si>
  <si>
    <t>Elena Luzia Palloni Gonçalves e Teresinha das Graças Coletta</t>
  </si>
  <si>
    <t>Visita Orientada</t>
  </si>
  <si>
    <t>Grupo do Itamaraty (Colômbia)</t>
  </si>
  <si>
    <t>Apresentação da Biblioteca e Visita Orientada</t>
  </si>
  <si>
    <t>Grupo de alunos do Ensino Médio (organização da Semana de Engenharia Mecânica)</t>
  </si>
  <si>
    <t>Teresinha das Graças Coletta</t>
  </si>
  <si>
    <t>Grupo de alunos do SET</t>
  </si>
  <si>
    <t>Palestra sobre estruturação de trabalhos</t>
  </si>
  <si>
    <t>SEP 1800082</t>
  </si>
  <si>
    <t>Bases de dados referenciais e de acervos</t>
  </si>
  <si>
    <t>ABNT NBR 10520 (Citações)  e Código de Boas Práticas Científicas da FAPESP</t>
  </si>
  <si>
    <t>SEA5838</t>
  </si>
  <si>
    <t>Elenise Maria de Araujo e Elena Luzia Palloni Gonçalves</t>
  </si>
  <si>
    <t>Gerenciadores de referência: EndNote e Mendeley</t>
  </si>
  <si>
    <t>ABNT NBR 10520 (Citações), plágio e boas práticas</t>
  </si>
  <si>
    <t>Template de trabalhos acadêmicos + ABNT NBR 10520 (Citações)</t>
  </si>
  <si>
    <t>Grupo da Uniciencia (Colombia)</t>
  </si>
  <si>
    <t>Grupo da Colombia</t>
  </si>
  <si>
    <t>Agência USP de Gestão da Informação</t>
  </si>
  <si>
    <t>Elenise Maria de Araújo</t>
  </si>
  <si>
    <t>04.04.2019</t>
  </si>
  <si>
    <t>Disciplina PAE Integrada (SEL 5720, SEP5828, SEM5931, SEA5911)</t>
  </si>
  <si>
    <t>Planejamento de ensino e design instrucional</t>
  </si>
  <si>
    <t>Fundamentos da Educação Superior</t>
  </si>
  <si>
    <t>Patricia Silva Leme</t>
  </si>
  <si>
    <t>Disciplina PAE Integrada (SET5927, STT5893, SMM5784 e SHS5722)</t>
  </si>
  <si>
    <t>Biblioteca/Unidade: EESC  (Ano - 2019)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</si>
</sst>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topLeftCell="A43" workbookViewId="0">
      <selection activeCell="A7" sqref="A7:L7"/>
    </sheetView>
  </sheetViews>
  <sheetFormatPr defaultRowHeight="14.4" x14ac:dyDescent="0.3"/>
  <cols>
    <col min="1" max="1" width="13.33203125" customWidth="1"/>
    <col min="2" max="3" width="11.44140625" customWidth="1"/>
    <col min="4" max="4" width="21" customWidth="1"/>
    <col min="5" max="5" width="10" customWidth="1"/>
    <col min="6" max="6" width="11.88671875" customWidth="1"/>
    <col min="7" max="7" width="9.109375" customWidth="1"/>
    <col min="8" max="8" width="9.88671875" customWidth="1"/>
    <col min="9" max="9" width="7.88671875" customWidth="1"/>
    <col min="10" max="10" width="14.88671875" customWidth="1"/>
    <col min="11" max="11" width="8" customWidth="1"/>
    <col min="12" max="12" width="7.109375" customWidth="1"/>
  </cols>
  <sheetData>
    <row r="1" spans="1:13" ht="11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ht="13.5" customHeight="1" x14ac:dyDescent="0.3">
      <c r="A2" s="17" t="s">
        <v>105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</row>
    <row r="3" spans="1:13" ht="13.5" customHeight="1" x14ac:dyDescent="0.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"/>
    </row>
    <row r="4" spans="1:13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3" ht="12.75" customHeight="1" x14ac:dyDescent="0.3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3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3" ht="13.5" customHeight="1" x14ac:dyDescent="0.25">
      <c r="A7" s="26" t="s">
        <v>113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3" ht="8.2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3" ht="22.5" customHeight="1" x14ac:dyDescent="0.3">
      <c r="A9" s="14" t="s">
        <v>1</v>
      </c>
      <c r="B9" s="14" t="s">
        <v>4</v>
      </c>
      <c r="C9" s="14" t="s">
        <v>5</v>
      </c>
      <c r="D9" s="14" t="s">
        <v>6</v>
      </c>
      <c r="E9" s="14" t="s">
        <v>7</v>
      </c>
      <c r="F9" s="14" t="s">
        <v>16</v>
      </c>
      <c r="G9" s="20" t="s">
        <v>14</v>
      </c>
      <c r="H9" s="21"/>
      <c r="I9" s="22" t="s">
        <v>11</v>
      </c>
      <c r="J9" s="22" t="s">
        <v>10</v>
      </c>
      <c r="K9" s="18" t="s">
        <v>15</v>
      </c>
      <c r="L9" s="19"/>
    </row>
    <row r="10" spans="1:13" ht="27" customHeight="1" x14ac:dyDescent="0.3">
      <c r="A10" s="15"/>
      <c r="B10" s="15"/>
      <c r="C10" s="15"/>
      <c r="D10" s="15"/>
      <c r="E10" s="15"/>
      <c r="F10" s="15"/>
      <c r="G10" s="2" t="s">
        <v>12</v>
      </c>
      <c r="H10" s="2" t="s">
        <v>13</v>
      </c>
      <c r="I10" s="23"/>
      <c r="J10" s="23"/>
      <c r="K10" s="2" t="s">
        <v>8</v>
      </c>
      <c r="L10" s="2" t="s">
        <v>9</v>
      </c>
    </row>
    <row r="11" spans="1:13" ht="60" x14ac:dyDescent="0.3">
      <c r="A11" s="3" t="s">
        <v>17</v>
      </c>
      <c r="B11" s="3"/>
      <c r="C11" s="3" t="s">
        <v>41</v>
      </c>
      <c r="D11" s="3" t="s">
        <v>18</v>
      </c>
      <c r="E11" s="3" t="s">
        <v>19</v>
      </c>
      <c r="F11" s="3">
        <v>16</v>
      </c>
      <c r="G11" s="4">
        <v>43521</v>
      </c>
      <c r="H11" s="4">
        <v>43521</v>
      </c>
      <c r="I11" s="3" t="s">
        <v>20</v>
      </c>
      <c r="J11" s="3" t="s">
        <v>21</v>
      </c>
      <c r="K11" s="3" t="s">
        <v>22</v>
      </c>
      <c r="L11" s="3" t="s">
        <v>22</v>
      </c>
    </row>
    <row r="12" spans="1:13" ht="36" x14ac:dyDescent="0.3">
      <c r="A12" s="3" t="s">
        <v>17</v>
      </c>
      <c r="B12" s="3"/>
      <c r="C12" s="3" t="s">
        <v>43</v>
      </c>
      <c r="D12" s="3" t="s">
        <v>18</v>
      </c>
      <c r="E12" s="3" t="s">
        <v>19</v>
      </c>
      <c r="F12" s="3">
        <v>4</v>
      </c>
      <c r="G12" s="4">
        <v>43522</v>
      </c>
      <c r="H12" s="4">
        <v>43522</v>
      </c>
      <c r="I12" s="3" t="s">
        <v>20</v>
      </c>
      <c r="J12" s="3" t="s">
        <v>25</v>
      </c>
      <c r="K12" s="3" t="s">
        <v>22</v>
      </c>
      <c r="L12" s="3" t="s">
        <v>22</v>
      </c>
    </row>
    <row r="13" spans="1:13" ht="60" x14ac:dyDescent="0.3">
      <c r="A13" s="3" t="s">
        <v>17</v>
      </c>
      <c r="B13" s="3"/>
      <c r="C13" s="3" t="s">
        <v>42</v>
      </c>
      <c r="D13" s="3" t="s">
        <v>18</v>
      </c>
      <c r="E13" s="3" t="s">
        <v>19</v>
      </c>
      <c r="F13" s="5">
        <v>3</v>
      </c>
      <c r="G13" s="4">
        <v>43523</v>
      </c>
      <c r="H13" s="4">
        <v>43523</v>
      </c>
      <c r="I13" s="3" t="s">
        <v>20</v>
      </c>
      <c r="J13" s="3" t="s">
        <v>59</v>
      </c>
      <c r="K13" s="3" t="s">
        <v>22</v>
      </c>
      <c r="L13" s="3" t="s">
        <v>22</v>
      </c>
    </row>
    <row r="14" spans="1:13" ht="36" x14ac:dyDescent="0.3">
      <c r="A14" s="3" t="s">
        <v>26</v>
      </c>
      <c r="B14" s="3" t="s">
        <v>27</v>
      </c>
      <c r="C14" s="5" t="s">
        <v>44</v>
      </c>
      <c r="D14" s="3" t="s">
        <v>45</v>
      </c>
      <c r="E14" s="3" t="s">
        <v>24</v>
      </c>
      <c r="F14" s="5">
        <v>129</v>
      </c>
      <c r="G14" s="4">
        <v>43537</v>
      </c>
      <c r="H14" s="4">
        <v>43537</v>
      </c>
      <c r="I14" s="3" t="s">
        <v>28</v>
      </c>
      <c r="J14" s="3" t="s">
        <v>23</v>
      </c>
      <c r="K14" s="3"/>
      <c r="L14" s="3"/>
    </row>
    <row r="15" spans="1:13" ht="36" x14ac:dyDescent="0.3">
      <c r="A15" s="3" t="s">
        <v>26</v>
      </c>
      <c r="B15" s="3" t="s">
        <v>27</v>
      </c>
      <c r="C15" s="5" t="s">
        <v>44</v>
      </c>
      <c r="D15" s="3" t="s">
        <v>46</v>
      </c>
      <c r="E15" s="3" t="s">
        <v>24</v>
      </c>
      <c r="F15" s="5">
        <v>87</v>
      </c>
      <c r="G15" s="4">
        <v>43537</v>
      </c>
      <c r="H15" s="4">
        <v>43537</v>
      </c>
      <c r="I15" s="3" t="s">
        <v>20</v>
      </c>
      <c r="J15" s="3" t="s">
        <v>21</v>
      </c>
      <c r="K15" s="3"/>
      <c r="L15" s="3"/>
    </row>
    <row r="16" spans="1:13" ht="49.5" customHeight="1" x14ac:dyDescent="0.3">
      <c r="A16" s="3" t="s">
        <v>17</v>
      </c>
      <c r="B16" s="3"/>
      <c r="C16" s="5" t="s">
        <v>48</v>
      </c>
      <c r="D16" s="3" t="s">
        <v>18</v>
      </c>
      <c r="E16" s="3" t="s">
        <v>49</v>
      </c>
      <c r="F16" s="5">
        <v>41</v>
      </c>
      <c r="G16" s="4">
        <v>43542</v>
      </c>
      <c r="H16" s="4">
        <v>43542</v>
      </c>
      <c r="I16" s="3" t="s">
        <v>28</v>
      </c>
      <c r="J16" s="3" t="s">
        <v>50</v>
      </c>
      <c r="K16" s="3" t="s">
        <v>22</v>
      </c>
      <c r="L16" s="3" t="s">
        <v>22</v>
      </c>
    </row>
    <row r="17" spans="1:12" ht="42.75" customHeight="1" x14ac:dyDescent="0.3">
      <c r="A17" s="3" t="s">
        <v>17</v>
      </c>
      <c r="B17" s="3"/>
      <c r="C17" s="5">
        <v>1800091</v>
      </c>
      <c r="D17" s="3" t="s">
        <v>18</v>
      </c>
      <c r="E17" s="3" t="s">
        <v>64</v>
      </c>
      <c r="F17" s="5">
        <v>30</v>
      </c>
      <c r="G17" s="4">
        <v>43542</v>
      </c>
      <c r="H17" s="4">
        <v>43542</v>
      </c>
      <c r="I17" s="3" t="s">
        <v>47</v>
      </c>
      <c r="J17" s="3" t="s">
        <v>21</v>
      </c>
      <c r="K17" s="3" t="s">
        <v>22</v>
      </c>
      <c r="L17" s="3" t="s">
        <v>22</v>
      </c>
    </row>
    <row r="18" spans="1:12" ht="61.5" customHeight="1" x14ac:dyDescent="0.3">
      <c r="A18" s="3" t="s">
        <v>17</v>
      </c>
      <c r="B18" s="3"/>
      <c r="C18" s="32" t="s">
        <v>108</v>
      </c>
      <c r="D18" s="5" t="s">
        <v>61</v>
      </c>
      <c r="E18" s="5" t="s">
        <v>71</v>
      </c>
      <c r="F18" s="5">
        <f>SUM(20+13+35+28)</f>
        <v>96</v>
      </c>
      <c r="G18" s="4">
        <v>43545</v>
      </c>
      <c r="H18" s="4">
        <v>43545</v>
      </c>
      <c r="I18" s="3" t="s">
        <v>20</v>
      </c>
      <c r="J18" s="3" t="s">
        <v>62</v>
      </c>
      <c r="K18" s="3"/>
      <c r="L18" s="3"/>
    </row>
    <row r="19" spans="1:12" ht="42" customHeight="1" x14ac:dyDescent="0.3">
      <c r="A19" s="3" t="s">
        <v>17</v>
      </c>
      <c r="B19" s="3"/>
      <c r="C19" s="3"/>
      <c r="D19" s="3" t="s">
        <v>60</v>
      </c>
      <c r="E19" s="3" t="s">
        <v>58</v>
      </c>
      <c r="F19" s="5">
        <v>11</v>
      </c>
      <c r="G19" s="4">
        <v>43545</v>
      </c>
      <c r="H19" s="4">
        <v>43545</v>
      </c>
      <c r="I19" s="3" t="s">
        <v>20</v>
      </c>
      <c r="J19" s="3" t="s">
        <v>21</v>
      </c>
      <c r="K19" s="3" t="s">
        <v>22</v>
      </c>
      <c r="L19" s="3" t="s">
        <v>22</v>
      </c>
    </row>
    <row r="20" spans="1:12" ht="41.25" customHeight="1" x14ac:dyDescent="0.3">
      <c r="A20" s="3" t="s">
        <v>17</v>
      </c>
      <c r="B20" s="3"/>
      <c r="C20" s="3">
        <v>180100014</v>
      </c>
      <c r="D20" s="3" t="s">
        <v>60</v>
      </c>
      <c r="E20" s="3" t="s">
        <v>58</v>
      </c>
      <c r="F20" s="5">
        <v>14</v>
      </c>
      <c r="G20" s="4">
        <v>43549</v>
      </c>
      <c r="H20" s="4">
        <v>43549</v>
      </c>
      <c r="I20" s="3" t="s">
        <v>28</v>
      </c>
      <c r="J20" s="3" t="s">
        <v>21</v>
      </c>
      <c r="K20" s="3" t="s">
        <v>22</v>
      </c>
      <c r="L20" s="3" t="s">
        <v>22</v>
      </c>
    </row>
    <row r="21" spans="1:12" s="29" customFormat="1" ht="61.2" customHeight="1" x14ac:dyDescent="0.3">
      <c r="A21" s="30" t="s">
        <v>17</v>
      </c>
      <c r="B21" s="30"/>
      <c r="C21" s="32" t="s">
        <v>108</v>
      </c>
      <c r="D21" s="30" t="s">
        <v>110</v>
      </c>
      <c r="E21" s="30" t="s">
        <v>81</v>
      </c>
      <c r="F21" s="31">
        <v>96</v>
      </c>
      <c r="G21" s="33">
        <v>43552</v>
      </c>
      <c r="H21" s="33">
        <v>43552</v>
      </c>
      <c r="I21" s="30" t="s">
        <v>20</v>
      </c>
      <c r="J21" s="31" t="s">
        <v>111</v>
      </c>
      <c r="K21" s="30"/>
      <c r="L21" s="30"/>
    </row>
    <row r="22" spans="1:12" ht="65.25" customHeight="1" x14ac:dyDescent="0.3">
      <c r="A22" s="3" t="s">
        <v>17</v>
      </c>
      <c r="B22" s="3"/>
      <c r="C22" s="5" t="s">
        <v>48</v>
      </c>
      <c r="D22" s="3" t="s">
        <v>51</v>
      </c>
      <c r="E22" s="3" t="s">
        <v>49</v>
      </c>
      <c r="F22" s="5">
        <v>33</v>
      </c>
      <c r="G22" s="4">
        <v>43556</v>
      </c>
      <c r="H22" s="4">
        <v>43556</v>
      </c>
      <c r="I22" s="3" t="s">
        <v>28</v>
      </c>
      <c r="J22" s="3" t="s">
        <v>55</v>
      </c>
      <c r="K22" s="3"/>
      <c r="L22" s="3"/>
    </row>
    <row r="23" spans="1:12" ht="65.25" customHeight="1" x14ac:dyDescent="0.3">
      <c r="A23" s="27" t="s">
        <v>17</v>
      </c>
      <c r="B23" s="27"/>
      <c r="C23" s="32" t="s">
        <v>108</v>
      </c>
      <c r="D23" s="27" t="s">
        <v>109</v>
      </c>
      <c r="E23" s="27" t="s">
        <v>81</v>
      </c>
      <c r="F23" s="31">
        <v>96</v>
      </c>
      <c r="G23" s="31" t="s">
        <v>107</v>
      </c>
      <c r="H23" s="31" t="s">
        <v>107</v>
      </c>
      <c r="I23" s="27" t="s">
        <v>20</v>
      </c>
      <c r="J23" s="28" t="s">
        <v>106</v>
      </c>
      <c r="K23" s="27"/>
      <c r="L23" s="27"/>
    </row>
    <row r="24" spans="1:12" ht="36" x14ac:dyDescent="0.3">
      <c r="A24" s="3" t="s">
        <v>17</v>
      </c>
      <c r="B24" s="3"/>
      <c r="C24" s="5" t="s">
        <v>48</v>
      </c>
      <c r="D24" s="3" t="s">
        <v>52</v>
      </c>
      <c r="E24" s="3" t="s">
        <v>49</v>
      </c>
      <c r="F24" s="5">
        <v>32</v>
      </c>
      <c r="G24" s="4">
        <v>43563</v>
      </c>
      <c r="H24" s="4">
        <v>43563</v>
      </c>
      <c r="I24" s="3" t="s">
        <v>28</v>
      </c>
      <c r="J24" s="3" t="s">
        <v>50</v>
      </c>
      <c r="K24" s="3"/>
      <c r="L24" s="3"/>
    </row>
    <row r="25" spans="1:12" ht="36" x14ac:dyDescent="0.3">
      <c r="A25" s="3" t="s">
        <v>27</v>
      </c>
      <c r="B25" s="3"/>
      <c r="C25" s="5"/>
      <c r="D25" s="3" t="s">
        <v>63</v>
      </c>
      <c r="E25" s="3" t="s">
        <v>65</v>
      </c>
      <c r="F25" s="5">
        <v>25</v>
      </c>
      <c r="G25" s="4">
        <v>43563</v>
      </c>
      <c r="H25" s="4">
        <v>43563</v>
      </c>
      <c r="I25" s="3" t="s">
        <v>28</v>
      </c>
      <c r="J25" s="3" t="s">
        <v>66</v>
      </c>
      <c r="K25" s="3"/>
      <c r="L25" s="3"/>
    </row>
    <row r="26" spans="1:12" ht="48" x14ac:dyDescent="0.3">
      <c r="A26" s="3" t="s">
        <v>17</v>
      </c>
      <c r="B26" s="3"/>
      <c r="C26" s="5" t="s">
        <v>48</v>
      </c>
      <c r="D26" s="3" t="s">
        <v>53</v>
      </c>
      <c r="E26" s="3" t="s">
        <v>49</v>
      </c>
      <c r="F26" s="5">
        <v>35</v>
      </c>
      <c r="G26" s="4">
        <v>43577</v>
      </c>
      <c r="H26" s="4">
        <v>43577</v>
      </c>
      <c r="I26" s="3" t="s">
        <v>28</v>
      </c>
      <c r="J26" s="3" t="s">
        <v>56</v>
      </c>
      <c r="K26" s="3"/>
      <c r="L26" s="3"/>
    </row>
    <row r="27" spans="1:12" ht="51.75" customHeight="1" x14ac:dyDescent="0.3">
      <c r="A27" s="3" t="s">
        <v>17</v>
      </c>
      <c r="B27" s="3"/>
      <c r="C27" s="5" t="s">
        <v>48</v>
      </c>
      <c r="D27" s="3" t="s">
        <v>54</v>
      </c>
      <c r="E27" s="3" t="s">
        <v>49</v>
      </c>
      <c r="F27" s="5">
        <v>28</v>
      </c>
      <c r="G27" s="4">
        <v>43584</v>
      </c>
      <c r="H27" s="4">
        <v>43584</v>
      </c>
      <c r="I27" s="3" t="s">
        <v>28</v>
      </c>
      <c r="J27" s="3" t="s">
        <v>57</v>
      </c>
      <c r="K27" s="3"/>
      <c r="L27" s="3"/>
    </row>
    <row r="28" spans="1:12" ht="60" x14ac:dyDescent="0.3">
      <c r="A28" s="3" t="s">
        <v>27</v>
      </c>
      <c r="B28" s="3"/>
      <c r="C28" s="3"/>
      <c r="D28" s="3" t="s">
        <v>67</v>
      </c>
      <c r="E28" s="3" t="s">
        <v>68</v>
      </c>
      <c r="F28" s="5">
        <v>27</v>
      </c>
      <c r="G28" s="4">
        <v>43587</v>
      </c>
      <c r="H28" s="4">
        <v>43587</v>
      </c>
      <c r="I28" s="3" t="s">
        <v>47</v>
      </c>
      <c r="J28" s="3" t="s">
        <v>21</v>
      </c>
      <c r="K28" s="3"/>
      <c r="L28" s="3"/>
    </row>
    <row r="29" spans="1:12" x14ac:dyDescent="0.3">
      <c r="A29" s="3" t="s">
        <v>27</v>
      </c>
      <c r="B29" s="3"/>
      <c r="C29" s="3" t="s">
        <v>69</v>
      </c>
      <c r="D29" s="3" t="s">
        <v>70</v>
      </c>
      <c r="E29" s="3" t="s">
        <v>71</v>
      </c>
      <c r="F29" s="5">
        <v>13</v>
      </c>
      <c r="G29" s="4">
        <v>43602</v>
      </c>
      <c r="H29" s="4">
        <v>43602</v>
      </c>
      <c r="I29" s="3" t="s">
        <v>20</v>
      </c>
      <c r="J29" s="3" t="s">
        <v>25</v>
      </c>
      <c r="K29" s="3"/>
      <c r="L29" s="3"/>
    </row>
    <row r="30" spans="1:12" ht="36" x14ac:dyDescent="0.3">
      <c r="A30" s="3" t="s">
        <v>27</v>
      </c>
      <c r="B30" s="3"/>
      <c r="C30" s="3"/>
      <c r="D30" s="3" t="s">
        <v>72</v>
      </c>
      <c r="E30" s="3" t="s">
        <v>73</v>
      </c>
      <c r="F30" s="5">
        <v>17</v>
      </c>
      <c r="G30" s="4">
        <v>43668</v>
      </c>
      <c r="H30" s="4">
        <v>43668</v>
      </c>
      <c r="I30" s="3" t="s">
        <v>20</v>
      </c>
      <c r="J30" s="3" t="s">
        <v>21</v>
      </c>
      <c r="K30" s="3"/>
      <c r="L30" s="3"/>
    </row>
    <row r="31" spans="1:12" ht="36" x14ac:dyDescent="0.3">
      <c r="A31" s="3" t="s">
        <v>17</v>
      </c>
      <c r="B31" s="3"/>
      <c r="C31" s="3" t="s">
        <v>74</v>
      </c>
      <c r="D31" s="3" t="s">
        <v>75</v>
      </c>
      <c r="E31" s="3" t="s">
        <v>71</v>
      </c>
      <c r="F31" s="5">
        <f t="shared" ref="F31:F33" si="0">SUM(8+13)</f>
        <v>21</v>
      </c>
      <c r="G31" s="4">
        <v>43691</v>
      </c>
      <c r="H31" s="4">
        <v>43691</v>
      </c>
      <c r="I31" s="3" t="s">
        <v>28</v>
      </c>
      <c r="J31" s="3" t="s">
        <v>21</v>
      </c>
      <c r="K31" s="3"/>
      <c r="L31" s="3"/>
    </row>
    <row r="32" spans="1:12" ht="60" x14ac:dyDescent="0.3">
      <c r="A32" s="3" t="s">
        <v>17</v>
      </c>
      <c r="B32" s="3"/>
      <c r="C32" s="3" t="s">
        <v>74</v>
      </c>
      <c r="D32" s="3" t="s">
        <v>77</v>
      </c>
      <c r="E32" s="3" t="s">
        <v>71</v>
      </c>
      <c r="F32" s="5">
        <f t="shared" si="0"/>
        <v>21</v>
      </c>
      <c r="G32" s="4">
        <v>43698</v>
      </c>
      <c r="H32" s="4">
        <v>43698</v>
      </c>
      <c r="I32" s="3" t="s">
        <v>28</v>
      </c>
      <c r="J32" s="3" t="s">
        <v>78</v>
      </c>
      <c r="K32" s="3"/>
      <c r="L32" s="3"/>
    </row>
    <row r="33" spans="1:12" ht="36" x14ac:dyDescent="0.3">
      <c r="A33" s="3" t="s">
        <v>17</v>
      </c>
      <c r="B33" s="3"/>
      <c r="C33" s="3" t="s">
        <v>74</v>
      </c>
      <c r="D33" s="3" t="s">
        <v>76</v>
      </c>
      <c r="E33" s="3" t="s">
        <v>71</v>
      </c>
      <c r="F33" s="5">
        <f t="shared" si="0"/>
        <v>21</v>
      </c>
      <c r="G33" s="4">
        <v>43705</v>
      </c>
      <c r="H33" s="4">
        <v>43705</v>
      </c>
      <c r="I33" s="3" t="s">
        <v>28</v>
      </c>
      <c r="J33" s="3" t="s">
        <v>25</v>
      </c>
      <c r="K33" s="3"/>
      <c r="L33" s="3"/>
    </row>
    <row r="34" spans="1:12" ht="48" x14ac:dyDescent="0.3">
      <c r="A34" s="3" t="s">
        <v>17</v>
      </c>
      <c r="B34" s="3"/>
      <c r="C34" s="3" t="s">
        <v>79</v>
      </c>
      <c r="D34" s="3" t="s">
        <v>80</v>
      </c>
      <c r="E34" s="3" t="s">
        <v>71</v>
      </c>
      <c r="F34" s="5">
        <f>SUM(7+14)</f>
        <v>21</v>
      </c>
      <c r="G34" s="4">
        <v>43710</v>
      </c>
      <c r="H34" s="4">
        <v>43710</v>
      </c>
      <c r="I34" s="3" t="s">
        <v>28</v>
      </c>
      <c r="J34" s="3" t="s">
        <v>25</v>
      </c>
      <c r="K34" s="3"/>
      <c r="L34" s="3"/>
    </row>
    <row r="35" spans="1:12" ht="48" x14ac:dyDescent="0.3">
      <c r="A35" s="3" t="s">
        <v>17</v>
      </c>
      <c r="B35" s="3"/>
      <c r="C35" s="3" t="s">
        <v>79</v>
      </c>
      <c r="D35" s="3" t="s">
        <v>86</v>
      </c>
      <c r="E35" s="3" t="s">
        <v>81</v>
      </c>
      <c r="F35" s="5">
        <v>22</v>
      </c>
      <c r="G35" s="4">
        <v>43710</v>
      </c>
      <c r="H35" s="4">
        <v>43710</v>
      </c>
      <c r="I35" s="3" t="s">
        <v>20</v>
      </c>
      <c r="J35" s="3" t="s">
        <v>25</v>
      </c>
      <c r="K35" s="3"/>
      <c r="L35" s="3"/>
    </row>
    <row r="36" spans="1:12" ht="48" x14ac:dyDescent="0.3">
      <c r="A36" s="3" t="s">
        <v>17</v>
      </c>
      <c r="B36" s="3"/>
      <c r="C36" s="3" t="s">
        <v>79</v>
      </c>
      <c r="D36" s="3" t="s">
        <v>82</v>
      </c>
      <c r="E36" s="3" t="s">
        <v>71</v>
      </c>
      <c r="F36" s="5">
        <f>SUM(18+14)</f>
        <v>32</v>
      </c>
      <c r="G36" s="4">
        <v>43711</v>
      </c>
      <c r="H36" s="4">
        <v>43711</v>
      </c>
      <c r="I36" s="3" t="s">
        <v>28</v>
      </c>
      <c r="J36" s="3" t="s">
        <v>83</v>
      </c>
      <c r="K36" s="3"/>
      <c r="L36" s="3"/>
    </row>
    <row r="37" spans="1:12" ht="48" x14ac:dyDescent="0.3">
      <c r="A37" s="3" t="s">
        <v>17</v>
      </c>
      <c r="B37" s="3"/>
      <c r="C37" s="3" t="s">
        <v>79</v>
      </c>
      <c r="D37" s="3" t="s">
        <v>84</v>
      </c>
      <c r="E37" s="3" t="s">
        <v>81</v>
      </c>
      <c r="F37" s="5">
        <v>24</v>
      </c>
      <c r="G37" s="4">
        <v>43711</v>
      </c>
      <c r="H37" s="4">
        <v>43711</v>
      </c>
      <c r="I37" s="3" t="s">
        <v>20</v>
      </c>
      <c r="J37" s="3" t="s">
        <v>21</v>
      </c>
      <c r="K37" s="3"/>
      <c r="L37" s="3"/>
    </row>
    <row r="38" spans="1:12" ht="48" x14ac:dyDescent="0.3">
      <c r="A38" s="3" t="s">
        <v>17</v>
      </c>
      <c r="B38" s="3"/>
      <c r="C38" s="3" t="s">
        <v>79</v>
      </c>
      <c r="D38" s="3" t="s">
        <v>85</v>
      </c>
      <c r="E38" s="3" t="s">
        <v>71</v>
      </c>
      <c r="F38" s="5">
        <f>SUM(12+5)</f>
        <v>17</v>
      </c>
      <c r="G38" s="4">
        <v>43712</v>
      </c>
      <c r="H38" s="4">
        <v>43712</v>
      </c>
      <c r="I38" s="3" t="s">
        <v>28</v>
      </c>
      <c r="J38" s="3" t="s">
        <v>87</v>
      </c>
      <c r="K38" s="3"/>
      <c r="L38" s="3"/>
    </row>
    <row r="39" spans="1:12" ht="48" x14ac:dyDescent="0.3">
      <c r="A39" s="3" t="s">
        <v>88</v>
      </c>
      <c r="B39" s="3"/>
      <c r="C39" s="5" t="s">
        <v>89</v>
      </c>
      <c r="D39" s="3" t="s">
        <v>90</v>
      </c>
      <c r="E39" s="3" t="s">
        <v>73</v>
      </c>
      <c r="F39" s="5">
        <v>16</v>
      </c>
      <c r="G39" s="4">
        <v>43725</v>
      </c>
      <c r="H39" s="4">
        <v>43725</v>
      </c>
      <c r="I39" s="3" t="s">
        <v>20</v>
      </c>
      <c r="J39" s="3" t="s">
        <v>87</v>
      </c>
      <c r="K39" s="3" t="s">
        <v>22</v>
      </c>
      <c r="L39" s="3" t="s">
        <v>22</v>
      </c>
    </row>
    <row r="40" spans="1:12" ht="84" x14ac:dyDescent="0.3">
      <c r="A40" s="3" t="s">
        <v>88</v>
      </c>
      <c r="B40" s="3"/>
      <c r="C40" s="5" t="s">
        <v>91</v>
      </c>
      <c r="D40" s="3" t="s">
        <v>90</v>
      </c>
      <c r="E40" s="3" t="s">
        <v>73</v>
      </c>
      <c r="F40" s="5">
        <v>15</v>
      </c>
      <c r="G40" s="4">
        <v>43732</v>
      </c>
      <c r="H40" s="4">
        <v>43732</v>
      </c>
      <c r="I40" s="3" t="s">
        <v>28</v>
      </c>
      <c r="J40" s="3" t="s">
        <v>92</v>
      </c>
      <c r="K40" s="3" t="s">
        <v>22</v>
      </c>
      <c r="L40" s="3" t="s">
        <v>22</v>
      </c>
    </row>
    <row r="41" spans="1:12" ht="84" x14ac:dyDescent="0.3">
      <c r="A41" s="3" t="s">
        <v>88</v>
      </c>
      <c r="B41" s="3"/>
      <c r="C41" s="5" t="s">
        <v>91</v>
      </c>
      <c r="D41" s="3" t="s">
        <v>90</v>
      </c>
      <c r="E41" s="3" t="s">
        <v>73</v>
      </c>
      <c r="F41" s="5">
        <v>15</v>
      </c>
      <c r="G41" s="4">
        <v>43732</v>
      </c>
      <c r="H41" s="4">
        <v>43732</v>
      </c>
      <c r="I41" s="3" t="s">
        <v>28</v>
      </c>
      <c r="J41" s="3" t="s">
        <v>92</v>
      </c>
      <c r="K41" s="3" t="s">
        <v>22</v>
      </c>
      <c r="L41" s="3" t="s">
        <v>22</v>
      </c>
    </row>
    <row r="42" spans="1:12" ht="84" x14ac:dyDescent="0.3">
      <c r="A42" s="3" t="s">
        <v>88</v>
      </c>
      <c r="B42" s="3"/>
      <c r="C42" s="5" t="s">
        <v>91</v>
      </c>
      <c r="D42" s="3" t="s">
        <v>90</v>
      </c>
      <c r="E42" s="3" t="s">
        <v>73</v>
      </c>
      <c r="F42" s="5">
        <v>15</v>
      </c>
      <c r="G42" s="4">
        <v>43732</v>
      </c>
      <c r="H42" s="4">
        <v>43732</v>
      </c>
      <c r="I42" s="3" t="s">
        <v>28</v>
      </c>
      <c r="J42" s="3" t="s">
        <v>92</v>
      </c>
      <c r="K42" s="3" t="s">
        <v>22</v>
      </c>
      <c r="L42" s="3" t="s">
        <v>22</v>
      </c>
    </row>
    <row r="43" spans="1:12" s="29" customFormat="1" ht="72" x14ac:dyDescent="0.3">
      <c r="A43" s="31" t="s">
        <v>17</v>
      </c>
      <c r="B43" s="31"/>
      <c r="C43" s="31" t="s">
        <v>112</v>
      </c>
      <c r="D43" s="31" t="s">
        <v>110</v>
      </c>
      <c r="E43" s="31" t="s">
        <v>81</v>
      </c>
      <c r="F43" s="31">
        <v>87</v>
      </c>
      <c r="G43" s="33">
        <v>43699</v>
      </c>
      <c r="H43" s="33">
        <v>43699</v>
      </c>
      <c r="I43" s="31" t="s">
        <v>20</v>
      </c>
      <c r="J43" s="31" t="s">
        <v>111</v>
      </c>
      <c r="K43" s="31"/>
      <c r="L43" s="31"/>
    </row>
    <row r="44" spans="1:12" s="29" customFormat="1" ht="72" x14ac:dyDescent="0.3">
      <c r="A44" s="31" t="s">
        <v>17</v>
      </c>
      <c r="B44" s="31"/>
      <c r="C44" s="31" t="s">
        <v>112</v>
      </c>
      <c r="D44" s="31" t="s">
        <v>109</v>
      </c>
      <c r="E44" s="31" t="s">
        <v>81</v>
      </c>
      <c r="F44" s="31">
        <v>87</v>
      </c>
      <c r="G44" s="33">
        <v>43706</v>
      </c>
      <c r="H44" s="33">
        <v>43706</v>
      </c>
      <c r="I44" s="31" t="s">
        <v>20</v>
      </c>
      <c r="J44" s="31" t="s">
        <v>106</v>
      </c>
      <c r="K44" s="31"/>
      <c r="L44" s="31"/>
    </row>
    <row r="45" spans="1:12" ht="24" x14ac:dyDescent="0.3">
      <c r="A45" s="3" t="s">
        <v>17</v>
      </c>
      <c r="B45" s="3"/>
      <c r="C45" s="3" t="s">
        <v>93</v>
      </c>
      <c r="D45" s="3" t="s">
        <v>94</v>
      </c>
      <c r="E45" s="3" t="s">
        <v>58</v>
      </c>
      <c r="F45" s="5">
        <v>15</v>
      </c>
      <c r="G45" s="4">
        <v>43752</v>
      </c>
      <c r="H45" s="4">
        <v>43752</v>
      </c>
      <c r="I45" s="3" t="s">
        <v>28</v>
      </c>
      <c r="J45" s="3" t="s">
        <v>83</v>
      </c>
      <c r="K45" s="3"/>
      <c r="L45" s="3"/>
    </row>
    <row r="46" spans="1:12" ht="24" x14ac:dyDescent="0.3">
      <c r="A46" s="3" t="s">
        <v>17</v>
      </c>
      <c r="B46" s="3"/>
      <c r="C46" s="3" t="s">
        <v>95</v>
      </c>
      <c r="D46" s="3" t="s">
        <v>96</v>
      </c>
      <c r="E46" s="3" t="s">
        <v>71</v>
      </c>
      <c r="F46" s="5">
        <v>14</v>
      </c>
      <c r="G46" s="4">
        <v>43752</v>
      </c>
      <c r="H46" s="4">
        <v>43752</v>
      </c>
      <c r="I46" s="3" t="s">
        <v>28</v>
      </c>
      <c r="J46" s="3" t="s">
        <v>21</v>
      </c>
      <c r="K46" s="3"/>
      <c r="L46" s="3"/>
    </row>
    <row r="47" spans="1:12" ht="24" x14ac:dyDescent="0.3">
      <c r="A47" s="3" t="s">
        <v>17</v>
      </c>
      <c r="B47" s="3"/>
      <c r="C47" s="3" t="s">
        <v>95</v>
      </c>
      <c r="D47" s="3" t="s">
        <v>101</v>
      </c>
      <c r="E47" s="3" t="s">
        <v>71</v>
      </c>
      <c r="F47" s="5">
        <v>17</v>
      </c>
      <c r="G47" s="4">
        <v>43759</v>
      </c>
      <c r="H47" s="4">
        <v>43759</v>
      </c>
      <c r="I47" s="3" t="s">
        <v>28</v>
      </c>
      <c r="J47" s="3" t="s">
        <v>23</v>
      </c>
      <c r="K47" s="3"/>
      <c r="L47" s="3"/>
    </row>
    <row r="48" spans="1:12" ht="36.6" customHeight="1" x14ac:dyDescent="0.3">
      <c r="A48" s="3" t="s">
        <v>17</v>
      </c>
      <c r="B48" s="3"/>
      <c r="C48" s="3" t="s">
        <v>74</v>
      </c>
      <c r="D48" s="3" t="s">
        <v>97</v>
      </c>
      <c r="E48" s="3" t="s">
        <v>71</v>
      </c>
      <c r="F48" s="5">
        <f>SUM(8+13)</f>
        <v>21</v>
      </c>
      <c r="G48" s="4">
        <v>43761</v>
      </c>
      <c r="H48" s="4">
        <v>43761</v>
      </c>
      <c r="I48" s="3" t="s">
        <v>28</v>
      </c>
      <c r="J48" s="3" t="s">
        <v>23</v>
      </c>
      <c r="K48" s="3"/>
      <c r="L48" s="3"/>
    </row>
    <row r="49" spans="1:12" ht="36" x14ac:dyDescent="0.3">
      <c r="A49" s="3" t="s">
        <v>17</v>
      </c>
      <c r="B49" s="3"/>
      <c r="C49" s="3" t="s">
        <v>98</v>
      </c>
      <c r="D49" s="3" t="s">
        <v>102</v>
      </c>
      <c r="E49" s="3" t="s">
        <v>71</v>
      </c>
      <c r="F49" s="5">
        <v>23</v>
      </c>
      <c r="G49" s="4">
        <v>43774</v>
      </c>
      <c r="H49" s="4">
        <v>43774</v>
      </c>
      <c r="I49" s="3" t="s">
        <v>28</v>
      </c>
      <c r="J49" s="3" t="s">
        <v>99</v>
      </c>
      <c r="K49" s="3"/>
      <c r="L49" s="3"/>
    </row>
    <row r="50" spans="1:12" ht="24" x14ac:dyDescent="0.3">
      <c r="A50" s="3" t="s">
        <v>17</v>
      </c>
      <c r="B50" s="3"/>
      <c r="C50" s="3" t="s">
        <v>95</v>
      </c>
      <c r="D50" s="3" t="s">
        <v>100</v>
      </c>
      <c r="E50" s="3" t="s">
        <v>71</v>
      </c>
      <c r="F50" s="5">
        <v>17</v>
      </c>
      <c r="G50" s="4">
        <v>43780</v>
      </c>
      <c r="H50" s="4">
        <v>43780</v>
      </c>
      <c r="I50" s="3" t="s">
        <v>28</v>
      </c>
      <c r="J50" s="3" t="s">
        <v>25</v>
      </c>
      <c r="K50" s="3"/>
      <c r="L50" s="3"/>
    </row>
    <row r="51" spans="1:12" ht="24" x14ac:dyDescent="0.3">
      <c r="A51" s="3" t="s">
        <v>17</v>
      </c>
      <c r="B51" s="3"/>
      <c r="C51" s="3" t="s">
        <v>98</v>
      </c>
      <c r="D51" s="3" t="s">
        <v>100</v>
      </c>
      <c r="E51" s="3" t="s">
        <v>71</v>
      </c>
      <c r="F51" s="5">
        <v>23</v>
      </c>
      <c r="G51" s="4">
        <v>43781</v>
      </c>
      <c r="H51" s="4">
        <v>43781</v>
      </c>
      <c r="I51" s="3" t="s">
        <v>28</v>
      </c>
      <c r="J51" s="3" t="s">
        <v>25</v>
      </c>
      <c r="K51" s="3"/>
      <c r="L51" s="3"/>
    </row>
    <row r="52" spans="1:12" s="8" customFormat="1" ht="36" x14ac:dyDescent="0.3">
      <c r="A52" s="6" t="s">
        <v>17</v>
      </c>
      <c r="B52" s="6"/>
      <c r="C52" s="6" t="s">
        <v>95</v>
      </c>
      <c r="D52" s="6" t="s">
        <v>97</v>
      </c>
      <c r="E52" s="6" t="s">
        <v>71</v>
      </c>
      <c r="F52" s="9">
        <v>17</v>
      </c>
      <c r="G52" s="7">
        <v>43787</v>
      </c>
      <c r="H52" s="7">
        <v>43787</v>
      </c>
      <c r="I52" s="6" t="s">
        <v>28</v>
      </c>
      <c r="J52" s="6" t="s">
        <v>23</v>
      </c>
      <c r="K52" s="6"/>
      <c r="L52" s="6"/>
    </row>
    <row r="53" spans="1:12" ht="36" x14ac:dyDescent="0.3">
      <c r="A53" s="3" t="s">
        <v>88</v>
      </c>
      <c r="B53" s="3"/>
      <c r="C53" s="5" t="s">
        <v>103</v>
      </c>
      <c r="D53" s="3" t="s">
        <v>90</v>
      </c>
      <c r="E53" s="3" t="s">
        <v>73</v>
      </c>
      <c r="F53" s="5">
        <v>33</v>
      </c>
      <c r="G53" s="4">
        <v>43787</v>
      </c>
      <c r="H53" s="4">
        <v>43787</v>
      </c>
      <c r="I53" s="3" t="s">
        <v>28</v>
      </c>
      <c r="J53" s="3" t="s">
        <v>21</v>
      </c>
      <c r="K53" s="3" t="s">
        <v>22</v>
      </c>
      <c r="L53" s="3" t="s">
        <v>22</v>
      </c>
    </row>
    <row r="54" spans="1:12" ht="24" x14ac:dyDescent="0.3">
      <c r="A54" s="3" t="s">
        <v>88</v>
      </c>
      <c r="B54" s="3"/>
      <c r="C54" s="5" t="s">
        <v>104</v>
      </c>
      <c r="D54" s="3" t="s">
        <v>90</v>
      </c>
      <c r="E54" s="3" t="s">
        <v>73</v>
      </c>
      <c r="F54" s="5">
        <v>10</v>
      </c>
      <c r="G54" s="4">
        <v>43788</v>
      </c>
      <c r="H54" s="4">
        <v>43788</v>
      </c>
      <c r="I54" s="3" t="s">
        <v>28</v>
      </c>
      <c r="J54" s="3" t="s">
        <v>83</v>
      </c>
      <c r="K54" s="3" t="s">
        <v>22</v>
      </c>
      <c r="L54" s="3" t="s">
        <v>22</v>
      </c>
    </row>
    <row r="55" spans="1:12" ht="24" x14ac:dyDescent="0.3">
      <c r="A55" s="3" t="s">
        <v>88</v>
      </c>
      <c r="B55" s="3"/>
      <c r="C55" s="5" t="s">
        <v>104</v>
      </c>
      <c r="D55" s="3" t="s">
        <v>90</v>
      </c>
      <c r="E55" s="3" t="s">
        <v>73</v>
      </c>
      <c r="F55" s="5">
        <v>60</v>
      </c>
      <c r="G55" s="4">
        <v>43810</v>
      </c>
      <c r="H55" s="4">
        <v>43810</v>
      </c>
      <c r="I55" s="3" t="s">
        <v>20</v>
      </c>
      <c r="J55" s="6" t="s">
        <v>23</v>
      </c>
      <c r="K55" s="3" t="s">
        <v>22</v>
      </c>
      <c r="L55" s="3" t="s">
        <v>22</v>
      </c>
    </row>
    <row r="56" spans="1:12" x14ac:dyDescent="0.3">
      <c r="A56" s="3"/>
      <c r="B56" s="3"/>
      <c r="C56" s="3"/>
      <c r="D56" s="3"/>
      <c r="E56" s="3"/>
      <c r="F56" s="5"/>
      <c r="G56" s="4"/>
      <c r="H56" s="4"/>
      <c r="I56" s="3"/>
      <c r="J56" s="3"/>
      <c r="K56" s="3"/>
      <c r="L56" s="3"/>
    </row>
    <row r="57" spans="1:12" x14ac:dyDescent="0.3">
      <c r="A57" s="3"/>
      <c r="B57" s="3"/>
      <c r="C57" s="3"/>
      <c r="D57" s="3"/>
      <c r="E57" s="3"/>
      <c r="F57" s="5"/>
      <c r="G57" s="4"/>
      <c r="H57" s="4"/>
      <c r="I57" s="3"/>
      <c r="J57" s="3"/>
      <c r="K57" s="3"/>
      <c r="L57" s="3"/>
    </row>
    <row r="58" spans="1:12" x14ac:dyDescent="0.3">
      <c r="A58" s="3"/>
      <c r="B58" s="3"/>
      <c r="C58" s="3"/>
      <c r="D58" s="3"/>
      <c r="E58" s="3"/>
      <c r="F58" s="5"/>
      <c r="G58" s="4"/>
      <c r="H58" s="4"/>
      <c r="I58" s="3"/>
      <c r="J58" s="3"/>
      <c r="K58" s="3"/>
      <c r="L58" s="3"/>
    </row>
    <row r="59" spans="1:12" x14ac:dyDescent="0.3">
      <c r="A59" s="3"/>
      <c r="B59" s="3"/>
      <c r="C59" s="3"/>
      <c r="D59" s="3"/>
      <c r="E59" s="3"/>
      <c r="F59" s="5"/>
      <c r="G59" s="4"/>
      <c r="H59" s="4"/>
      <c r="I59" s="3"/>
      <c r="J59" s="3"/>
      <c r="K59" s="3"/>
      <c r="L59" s="3"/>
    </row>
    <row r="60" spans="1:12" x14ac:dyDescent="0.3">
      <c r="A60" s="3"/>
      <c r="B60" s="3"/>
      <c r="C60" s="3"/>
      <c r="D60" s="3"/>
      <c r="E60" s="3"/>
      <c r="F60" s="5"/>
      <c r="G60" s="4"/>
      <c r="H60" s="4"/>
      <c r="I60" s="3"/>
      <c r="J60" s="3"/>
      <c r="K60" s="3"/>
      <c r="L60" s="3"/>
    </row>
    <row r="61" spans="1:12" x14ac:dyDescent="0.3">
      <c r="A61" s="3"/>
      <c r="B61" s="3"/>
      <c r="C61" s="3"/>
      <c r="D61" s="3"/>
      <c r="E61" s="3"/>
      <c r="F61" s="5"/>
      <c r="G61" s="4"/>
      <c r="H61" s="4"/>
      <c r="I61" s="3"/>
      <c r="J61" s="3"/>
      <c r="K61" s="3"/>
      <c r="L61" s="3"/>
    </row>
    <row r="62" spans="1:12" x14ac:dyDescent="0.3">
      <c r="A62" s="3"/>
      <c r="B62" s="3"/>
      <c r="C62" s="3"/>
      <c r="D62" s="3"/>
      <c r="E62" s="3"/>
      <c r="F62" s="5"/>
      <c r="G62" s="4"/>
      <c r="H62" s="4"/>
      <c r="I62" s="3"/>
      <c r="J62" s="3"/>
      <c r="K62" s="3"/>
      <c r="L62" s="3"/>
    </row>
    <row r="63" spans="1:12" x14ac:dyDescent="0.3">
      <c r="A63" s="3"/>
      <c r="B63" s="3"/>
      <c r="C63" s="3"/>
      <c r="D63" s="3"/>
      <c r="E63" s="3"/>
      <c r="F63" s="5"/>
      <c r="G63" s="4"/>
      <c r="H63" s="4"/>
      <c r="I63" s="3"/>
      <c r="J63" s="3"/>
      <c r="K63" s="3"/>
      <c r="L63" s="3"/>
    </row>
    <row r="64" spans="1:12" x14ac:dyDescent="0.3">
      <c r="A64" s="3"/>
      <c r="B64" s="3"/>
      <c r="C64" s="3"/>
      <c r="D64" s="3"/>
      <c r="E64" s="3"/>
      <c r="F64" s="5"/>
      <c r="G64" s="4"/>
      <c r="H64" s="4"/>
      <c r="I64" s="3"/>
      <c r="J64" s="3"/>
      <c r="K64" s="3"/>
      <c r="L64" s="3"/>
    </row>
    <row r="65" spans="1:12" x14ac:dyDescent="0.3">
      <c r="A65" s="3"/>
      <c r="B65" s="3"/>
      <c r="C65" s="3"/>
      <c r="D65" s="3"/>
      <c r="E65" s="3"/>
      <c r="F65" s="5"/>
      <c r="G65" s="4"/>
      <c r="H65" s="4"/>
      <c r="I65" s="3"/>
      <c r="J65" s="3"/>
      <c r="K65" s="3"/>
      <c r="L65" s="3"/>
    </row>
    <row r="66" spans="1:12" x14ac:dyDescent="0.3">
      <c r="A66" s="3"/>
      <c r="B66" s="3"/>
      <c r="C66" s="3"/>
      <c r="D66" s="3"/>
      <c r="E66" s="3"/>
      <c r="F66" s="5"/>
      <c r="G66" s="4"/>
      <c r="H66" s="4"/>
      <c r="I66" s="3"/>
      <c r="J66" s="3"/>
      <c r="K66" s="3"/>
      <c r="L66" s="3"/>
    </row>
    <row r="67" spans="1:12" x14ac:dyDescent="0.3">
      <c r="A67" s="3"/>
      <c r="B67" s="3"/>
      <c r="C67" s="3"/>
      <c r="D67" s="3"/>
      <c r="E67" s="3"/>
      <c r="F67" s="5"/>
      <c r="G67" s="4"/>
      <c r="H67" s="4"/>
      <c r="I67" s="3"/>
      <c r="J67" s="3"/>
      <c r="K67" s="3"/>
      <c r="L67" s="3"/>
    </row>
    <row r="68" spans="1:12" x14ac:dyDescent="0.3">
      <c r="A68" s="3"/>
      <c r="B68" s="3"/>
      <c r="C68" s="3"/>
      <c r="D68" s="3"/>
      <c r="E68" s="3"/>
      <c r="F68" s="5"/>
      <c r="G68" s="4"/>
      <c r="H68" s="4"/>
      <c r="I68" s="3"/>
      <c r="J68" s="3"/>
      <c r="K68" s="3"/>
      <c r="L68" s="3"/>
    </row>
    <row r="69" spans="1:12" x14ac:dyDescent="0.3">
      <c r="A69" s="3"/>
      <c r="B69" s="3"/>
      <c r="C69" s="3"/>
      <c r="D69" s="3"/>
      <c r="E69" s="3"/>
      <c r="F69" s="5"/>
      <c r="G69" s="4"/>
      <c r="H69" s="4"/>
      <c r="I69" s="3"/>
      <c r="J69" s="3"/>
      <c r="K69" s="3"/>
      <c r="L69" s="3"/>
    </row>
    <row r="70" spans="1:12" x14ac:dyDescent="0.3">
      <c r="A70" s="3"/>
      <c r="B70" s="3"/>
      <c r="C70" s="3"/>
      <c r="D70" s="3"/>
      <c r="E70" s="3"/>
      <c r="F70" s="5"/>
      <c r="G70" s="4"/>
      <c r="H70" s="4"/>
      <c r="I70" s="3"/>
      <c r="J70" s="3"/>
      <c r="K70" s="3"/>
      <c r="L70" s="3"/>
    </row>
    <row r="71" spans="1:12" x14ac:dyDescent="0.3">
      <c r="A71" s="3"/>
      <c r="B71" s="3"/>
      <c r="C71" s="3"/>
      <c r="D71" s="3"/>
      <c r="E71" s="3"/>
      <c r="F71" s="5"/>
      <c r="G71" s="4"/>
      <c r="H71" s="4"/>
      <c r="I71" s="3"/>
      <c r="J71" s="3"/>
      <c r="K71" s="3"/>
      <c r="L71" s="3"/>
    </row>
    <row r="73" spans="1:12" x14ac:dyDescent="0.3">
      <c r="A73" s="16" t="s">
        <v>29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1:12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15" customHeight="1" x14ac:dyDescent="0.3">
      <c r="A75" s="12" t="s">
        <v>30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125.25" customHeight="1" x14ac:dyDescent="0.3">
      <c r="A76" s="12" t="s">
        <v>31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3">
      <c r="A77" s="11" t="s">
        <v>32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x14ac:dyDescent="0.3">
      <c r="A78" s="11" t="s">
        <v>33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28.5" customHeight="1" x14ac:dyDescent="0.3">
      <c r="A79" s="13" t="s">
        <v>34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3">
      <c r="A80" s="11" t="s">
        <v>35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x14ac:dyDescent="0.3">
      <c r="A81" s="11" t="s">
        <v>36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x14ac:dyDescent="0.3">
      <c r="A82" s="11" t="s">
        <v>37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x14ac:dyDescent="0.3">
      <c r="A83" s="11" t="s">
        <v>38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ht="25.5" customHeight="1" x14ac:dyDescent="0.3">
      <c r="A84" s="10" t="s">
        <v>39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25.5" customHeight="1" x14ac:dyDescent="0.3">
      <c r="A85" s="10" t="s">
        <v>40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</sheetData>
  <mergeCells count="31">
    <mergeCell ref="A8:L8"/>
    <mergeCell ref="A1:L1"/>
    <mergeCell ref="A2:L2"/>
    <mergeCell ref="A3:L3"/>
    <mergeCell ref="A4:L4"/>
    <mergeCell ref="A5:L5"/>
    <mergeCell ref="A6:L6"/>
    <mergeCell ref="A7:L7"/>
    <mergeCell ref="B9:B10"/>
    <mergeCell ref="C9:C10"/>
    <mergeCell ref="A73:L73"/>
    <mergeCell ref="A74:L74"/>
    <mergeCell ref="A75:L75"/>
    <mergeCell ref="K9:L9"/>
    <mergeCell ref="D9:D10"/>
    <mergeCell ref="E9:E10"/>
    <mergeCell ref="F9:F10"/>
    <mergeCell ref="G9:H9"/>
    <mergeCell ref="I9:I10"/>
    <mergeCell ref="J9:J10"/>
    <mergeCell ref="A9:A10"/>
    <mergeCell ref="A76:L76"/>
    <mergeCell ref="A77:L77"/>
    <mergeCell ref="A78:L78"/>
    <mergeCell ref="A79:L79"/>
    <mergeCell ref="A80:L80"/>
    <mergeCell ref="A85:L85"/>
    <mergeCell ref="A81:L81"/>
    <mergeCell ref="A82:L82"/>
    <mergeCell ref="A83:L83"/>
    <mergeCell ref="A84:L8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Elenise Maria de Araujo</cp:lastModifiedBy>
  <cp:lastPrinted>2017-11-13T15:54:06Z</cp:lastPrinted>
  <dcterms:created xsi:type="dcterms:W3CDTF">2014-12-17T12:53:06Z</dcterms:created>
  <dcterms:modified xsi:type="dcterms:W3CDTF">2020-01-14T17:49:54Z</dcterms:modified>
</cp:coreProperties>
</file>